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Bloque A (20jul-2ago)" sheetId="2" state="visible" r:id="rId4"/>
    <sheet name="Bloque B (3-16ago)" sheetId="3" state="visible" r:id="rId5"/>
    <sheet name="Volumen (1910-1112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<sst xmlns="http://schemas.openxmlformats.org/spreadsheetml/2006/main" count="874" uniqueCount="198">
  <si>
    <t xml:space="preserve">PLAN 4 SEMANAS · 20 jul – 16 ago 2026</t>
  </si>
  <si>
    <t xml:space="preserve">Torso ya cebado (2 sem al fallo) → arranca en MAV1. Pierna 2 sem solo isométricos → reentra en MEV. Rehab FIJA.</t>
  </si>
  <si>
    <t xml:space="preserve">CÓMO ESTÁ PENSADO</t>
  </si>
  <si>
    <t xml:space="preserve">Punto de partida</t>
  </si>
  <si>
    <t xml:space="preserve">2 sem a volumen bajo + fallo/parciales/clusters en todo el torso (pecho, espalda, tríceps, lateral, posterior, bíceps). No estás desentrenado: estás cebado, con algo de fatiga acumulada. Pierna en cambio solo isométricos.</t>
  </si>
  <si>
    <t xml:space="preserve">Bloque A (20 jul–2 ago)</t>
  </si>
  <si>
    <t xml:space="preserve">5–6 días. TORSO: Sem 1 = MAV1 a 2 RIR (nos saltamos el MEV de reentrada), Sem 2 = MAV2 a 1 RIR. PIERNA: Sem 1 = MEV, Sem 2 = MAV1. Techo en MAV2: nada de MRV antes de la fiesta.</t>
  </si>
  <si>
    <t xml:space="preserve">Por qué 2 RIR en Sem 1</t>
  </si>
  <si>
    <t xml:space="preserve">Vienes de 2 sem enteras al fallo → subir volumen a MAV1 y seguir al fallo a la vez es picar volumen e intensidad juntos. Volumen arriba, intensidad un punto abajo; en Sem 2 ya aprietas a 1 RIR.</t>
  </si>
  <si>
    <t xml:space="preserve">Bloque B (3–16 ago)</t>
  </si>
  <si>
    <t xml:space="preserve">Beber fuerte + ~6 h sueño = sin recuperación real. MANTENIMIENTO: ~mitad de volumen, 3 días cortos, 2–3 RIR, sin fallo, sin progresar. Objetivo: no perder.</t>
  </si>
  <si>
    <t xml:space="preserve">Rodilla (rehab)</t>
  </si>
  <si>
    <t xml:space="preserve">FIJA las 4 semanas. El tendón quiere carga frecuente; descansar es contraproducente en tendinopatía. En fiesta: mantener rehab + isométricos, vigilar semáforo ≤3/10 y regla 24 h (alcohol/deshidratación empeoran el tendón).</t>
  </si>
  <si>
    <t xml:space="preserve">VOLUMEN OBJETIVO (series efectivas / músculo / semana)</t>
  </si>
  <si>
    <t xml:space="preserve">Músculo</t>
  </si>
  <si>
    <t xml:space="preserve">Sem 1
(MAV1 torso · 2 RIR)</t>
  </si>
  <si>
    <t xml:space="preserve">Sem 2
(MAV2 torso · 1 RIR)</t>
  </si>
  <si>
    <t xml:space="preserve">Sem 3–4
(mantenim. · 2–3 RIR)</t>
  </si>
  <si>
    <t xml:space="preserve">Nota</t>
  </si>
  <si>
    <t xml:space="preserve">Espalda + posterior</t>
  </si>
  <si>
    <t xml:space="preserve">11</t>
  </si>
  <si>
    <t xml:space="preserve">12</t>
  </si>
  <si>
    <t xml:space="preserve">3–4</t>
  </si>
  <si>
    <t xml:space="preserve">Pecho</t>
  </si>
  <si>
    <t xml:space="preserve">7</t>
  </si>
  <si>
    <t xml:space="preserve">8</t>
  </si>
  <si>
    <t xml:space="preserve">3</t>
  </si>
  <si>
    <t xml:space="preserve">Hombro lateral</t>
  </si>
  <si>
    <t xml:space="preserve">Bíceps</t>
  </si>
  <si>
    <t xml:space="preserve">2</t>
  </si>
  <si>
    <t xml:space="preserve">Tríceps</t>
  </si>
  <si>
    <t xml:space="preserve">+ el del press</t>
  </si>
  <si>
    <t xml:space="preserve">Abs</t>
  </si>
  <si>
    <t xml:space="preserve">6</t>
  </si>
  <si>
    <t xml:space="preserve">Isquios (accesorio)</t>
  </si>
  <si>
    <t xml:space="preserve">4  (MEV)</t>
  </si>
  <si>
    <t xml:space="preserve">6  (MAV1)</t>
  </si>
  <si>
    <t xml:space="preserve">rehab suma el resto</t>
  </si>
  <si>
    <t xml:space="preserve">Aductores</t>
  </si>
  <si>
    <t xml:space="preserve">1</t>
  </si>
  <si>
    <t xml:space="preserve">0–1</t>
  </si>
  <si>
    <t xml:space="preserve">Gemelos</t>
  </si>
  <si>
    <t xml:space="preserve">4</t>
  </si>
  <si>
    <t xml:space="preserve">FIJO</t>
  </si>
  <si>
    <t xml:space="preserve">no se toca</t>
  </si>
  <si>
    <t xml:space="preserve">BLOQUE A · 20 jul – 2 ago · ACUMULACIÓN (5–6 días)</t>
  </si>
  <si>
    <t xml:space="preserve">Torso arranca en MAV1 (ya cebado). Verde = rehab (FIJO). Sem 1 → 2 RIR · Sem 2 → 1 RIR (última de aislamiento al fallo opcional).</t>
  </si>
  <si>
    <t xml:space="preserve">(L) Lunes  ·  Rehab + Isquios + Hombro</t>
  </si>
  <si>
    <t xml:space="preserve">Ejercicio</t>
  </si>
  <si>
    <t xml:space="preserve">Objetivo</t>
  </si>
  <si>
    <t xml:space="preserve">Sem 1 (series@RIR)</t>
  </si>
  <si>
    <t xml:space="preserve">Sem 2 (series@RIR)</t>
  </si>
  <si>
    <t xml:space="preserve">Notas</t>
  </si>
  <si>
    <t xml:space="preserve">Laterales de pie</t>
  </si>
  <si>
    <t xml:space="preserve">Hombro lat.</t>
  </si>
  <si>
    <t xml:space="preserve">2 @ RIR2</t>
  </si>
  <si>
    <t xml:space="preserve">2 @ RIR1</t>
  </si>
  <si>
    <t xml:space="preserve">Laterales banco inclinado posterior</t>
  </si>
  <si>
    <t xml:space="preserve">Posterior</t>
  </si>
  <si>
    <t xml:space="preserve">1 @ RIR2</t>
  </si>
  <si>
    <t xml:space="preserve">Unilateral Abduction</t>
  </si>
  <si>
    <t xml:space="preserve">Rehab</t>
  </si>
  <si>
    <t xml:space="preserve">2 x15–20</t>
  </si>
  <si>
    <t xml:space="preserve">fijo</t>
  </si>
  <si>
    <t xml:space="preserve">Touchdown squat</t>
  </si>
  <si>
    <t xml:space="preserve">Unilateral Bridge iso</t>
  </si>
  <si>
    <t xml:space="preserve">2 (20 s)</t>
  </si>
  <si>
    <t xml:space="preserve">Zercher squat</t>
  </si>
  <si>
    <t xml:space="preserve">3 x12</t>
  </si>
  <si>
    <t xml:space="preserve">tempo controlado</t>
  </si>
  <si>
    <t xml:space="preserve">Bulgarian split squat</t>
  </si>
  <si>
    <t xml:space="preserve">2 x12</t>
  </si>
  <si>
    <t xml:space="preserve">Isquios</t>
  </si>
  <si>
    <t xml:space="preserve">Isquios (MEV→MAV1)</t>
  </si>
  <si>
    <t xml:space="preserve">3 @ RIR1</t>
  </si>
  <si>
    <t xml:space="preserve">(M) Martes  ·  Push</t>
  </si>
  <si>
    <t xml:space="preserve">Press inclinado manc</t>
  </si>
  <si>
    <t xml:space="preserve">3 @ RIR2</t>
  </si>
  <si>
    <t xml:space="preserve">4 @ RIR1</t>
  </si>
  <si>
    <t xml:space="preserve">Aperturas pecho manc + gomas</t>
  </si>
  <si>
    <t xml:space="preserve">Kaz press manc</t>
  </si>
  <si>
    <t xml:space="preserve">Pecho/hombro</t>
  </si>
  <si>
    <t xml:space="preserve">1 @ RIR1</t>
  </si>
  <si>
    <t xml:space="preserve">Extensión tríceps unil</t>
  </si>
  <si>
    <t xml:space="preserve">(X) Miércoles  ·  Pull</t>
  </si>
  <si>
    <t xml:space="preserve">Dominadas neutro</t>
  </si>
  <si>
    <t xml:space="preserve">Espalda</t>
  </si>
  <si>
    <t xml:space="preserve">Remo apoyado</t>
  </si>
  <si>
    <t xml:space="preserve">Pullover manc + gomas</t>
  </si>
  <si>
    <t xml:space="preserve">Dorsal</t>
  </si>
  <si>
    <t xml:space="preserve">Dominadas abducción hombro</t>
  </si>
  <si>
    <t xml:space="preserve">Espalda/post.</t>
  </si>
  <si>
    <t xml:space="preserve">Laterales sentado inclinado</t>
  </si>
  <si>
    <t xml:space="preserve">Arnold laterales</t>
  </si>
  <si>
    <t xml:space="preserve">Hombro</t>
  </si>
  <si>
    <t xml:space="preserve">Curl biceps</t>
  </si>
  <si>
    <t xml:space="preserve">(J) Jueves  ·  Rehab + Isquios + Aductores</t>
  </si>
  <si>
    <t xml:space="preserve">Aductores (MEV→MAV1)</t>
  </si>
  <si>
    <t xml:space="preserve">(V) Viernes  ·  Torso (upper completo)</t>
  </si>
  <si>
    <t xml:space="preserve">Dominadas neutras dorsal</t>
  </si>
  <si>
    <t xml:space="preserve">Press incl manc cerrado</t>
  </si>
  <si>
    <t xml:space="preserve">Pecho/tríceps</t>
  </si>
  <si>
    <t xml:space="preserve">Laterales inclinado estiramiento</t>
  </si>
  <si>
    <t xml:space="preserve">Triceps tras nuca</t>
  </si>
  <si>
    <t xml:space="preserve">Triceps conc</t>
  </si>
  <si>
    <t xml:space="preserve">1 @ RIR0</t>
  </si>
  <si>
    <t xml:space="preserve">última al fallo ok</t>
  </si>
  <si>
    <t xml:space="preserve">Curl biceps incl</t>
  </si>
  <si>
    <t xml:space="preserve">Curl martillo scott</t>
  </si>
  <si>
    <t xml:space="preserve">Bíceps/braquial</t>
  </si>
  <si>
    <t xml:space="preserve">(S) Sábado  ·  Rehab ligero + movilidad  (hazlo antes de salir el 25/07 y 01/08)</t>
  </si>
  <si>
    <t xml:space="preserve">Movilidad</t>
  </si>
  <si>
    <t xml:space="preserve">-</t>
  </si>
  <si>
    <t xml:space="preserve">(D) Domingo = descanso total. Hidrátate y prioriza proteína/sueño tras la fiesta.</t>
  </si>
  <si>
    <t xml:space="preserve">BLOQUE B · 3 – 16 ago · MANTENIMIENTO (fiesta 4–5 noches)</t>
  </si>
  <si>
    <t xml:space="preserve">Igual las 2 semanas. 3 días cortos. TODO a 2–3 RIR, SIN fallo. No progresar: solo mantener.</t>
  </si>
  <si>
    <t xml:space="preserve">Día 1  ·  Rehab + Push mínimo</t>
  </si>
  <si>
    <t xml:space="preserve">Series@RIR</t>
  </si>
  <si>
    <t xml:space="preserve">Laterales</t>
  </si>
  <si>
    <t xml:space="preserve">Día 2  ·  Rehab + Pull mínimo</t>
  </si>
  <si>
    <t xml:space="preserve">Día 3  ·  Rehab ligero + full mínimo</t>
  </si>
  <si>
    <t xml:space="preserve">Coloca los 3 días en tus jornadas MENOS resacosas. Entrena ANTES de beber, nunca la mañana de después. Si un día es inviable: solo rehab/isométricos.</t>
  </si>
  <si>
    <t xml:space="preserve">REGLAS RODILLA (todo el bloque)</t>
  </si>
  <si>
    <t xml:space="preserve">•  Semáforo: hasta 3/10 durante/justo después es aceptable.</t>
  </si>
  <si>
    <t xml:space="preserve">•  Regla 24 h: si al día siguiente el dolor sube y no baja, no progreses esa carga.</t>
  </si>
  <si>
    <t xml:space="preserve">•  Alcohol y deshidratación pueden empeorar el tendón: extrema hidratación.</t>
  </si>
  <si>
    <t xml:space="preserve">•  Tras el 16/08: retoma tu mesociclo normal reentrando en MEV.</t>
  </si>
  <si>
    <t xml:space="preserve">Volumen · 19/10 – 13/12 · 8 semanas (sem 9 = viaje/descarga)</t>
  </si>
  <si>
    <t xml:space="preserve">RIR1/0 = todas las series a RIR1 y la ÚLTIMA a RIR0 (si solo hay 1 serie, RIR0).  Rehab (Rebuilding Milo): ×12 sem 1 → ×10 sem 2-4 → ×8 sem 5-8 → ×6 tras el viaje; peso con el que la última serie quede cerca del fallo sin perder tempo 3-1-3 ni profundidad, dolor ≤3/10; sube peso solo si el test de 24 h está igual o mejor.</t>
  </si>
  <si>
    <t xml:space="preserve">(L) Lunes  ·  Rehab + Isquios + Hombro + Gemelo</t>
  </si>
  <si>
    <t xml:space="preserve">Sem 3 (series@RIR)</t>
  </si>
  <si>
    <t xml:space="preserve">Sem 4 (series@RIR)</t>
  </si>
  <si>
    <t xml:space="preserve">Sem 5 (series@RIR)</t>
  </si>
  <si>
    <t xml:space="preserve">Sem 6 (series@RIR)</t>
  </si>
  <si>
    <t xml:space="preserve">Sem 7 (series@RIR)</t>
  </si>
  <si>
    <t xml:space="preserve">Sem 8 (series@RIR)</t>
  </si>
  <si>
    <t xml:space="preserve">Elev laterales polea</t>
  </si>
  <si>
    <t xml:space="preserve">2 @ RIR1/0</t>
  </si>
  <si>
    <t xml:space="preserve">3 @ RIR1/0</t>
  </si>
  <si>
    <t xml:space="preserve">Elev laterales mancuerna</t>
  </si>
  <si>
    <t xml:space="preserve">Unilateral abduction</t>
  </si>
  <si>
    <t xml:space="preserve">Antes del rehab: sentadilla española 5×45 s</t>
  </si>
  <si>
    <t xml:space="preserve">Prensa unil</t>
  </si>
  <si>
    <t xml:space="preserve">2 x10</t>
  </si>
  <si>
    <t xml:space="preserve">2 x8</t>
  </si>
  <si>
    <t xml:space="preserve">fijo · Tempo 3-1-3 · dolor ≤3/10</t>
  </si>
  <si>
    <t xml:space="preserve">4 @ RIR1/0</t>
  </si>
  <si>
    <t xml:space="preserve">5 @ RIR1/0</t>
  </si>
  <si>
    <t xml:space="preserve">Hiperextensiones</t>
  </si>
  <si>
    <t xml:space="preserve">Press inclinado barra</t>
  </si>
  <si>
    <t xml:space="preserve">Extensión tríceps unil polea</t>
  </si>
  <si>
    <t xml:space="preserve">Aperturas polea</t>
  </si>
  <si>
    <t xml:space="preserve">Triceps tras nuca unil polea</t>
  </si>
  <si>
    <t xml:space="preserve">Jalón neutro</t>
  </si>
  <si>
    <t xml:space="preserve">Remo gironda abierto</t>
  </si>
  <si>
    <t xml:space="preserve">Laterales sentado</t>
  </si>
  <si>
    <t xml:space="preserve">Dominadas medio abiertas</t>
  </si>
  <si>
    <t xml:space="preserve">Curl martillo scott </t>
  </si>
  <si>
    <t xml:space="preserve">Posterior polea</t>
  </si>
  <si>
    <t xml:space="preserve">Hombro post.</t>
  </si>
  <si>
    <t xml:space="preserve">Curl bayesian</t>
  </si>
  <si>
    <t xml:space="preserve">Back squat</t>
  </si>
  <si>
    <t xml:space="preserve">3 x10</t>
  </si>
  <si>
    <t xml:space="preserve">3 x8</t>
  </si>
  <si>
    <t xml:space="preserve">Al cajón: tope + pausa 1 s · tempo 3-1-3</t>
  </si>
  <si>
    <t xml:space="preserve">Tempo 3-1-3 · empieza por la lesionada</t>
  </si>
  <si>
    <t xml:space="preserve">Isquios sentado</t>
  </si>
  <si>
    <t xml:space="preserve">(V) Viernes  ·  Torso</t>
  </si>
  <si>
    <t xml:space="preserve">Triceps conc polea</t>
  </si>
  <si>
    <t xml:space="preserve">Laterales polea</t>
  </si>
  <si>
    <t xml:space="preserve">Curl francés manc</t>
  </si>
  <si>
    <t xml:space="preserve">Curl biceps barra z</t>
  </si>
  <si>
    <t xml:space="preserve">Press incl máquina</t>
  </si>
  <si>
    <t xml:space="preserve">Dominada neutra dorsal</t>
  </si>
  <si>
    <t xml:space="preserve">Remo máquina</t>
  </si>
  <si>
    <t xml:space="preserve">Pullover</t>
  </si>
  <si>
    <t xml:space="preserve">(S) Sábado  ·  Rehab + Movilidad</t>
  </si>
  <si>
    <t xml:space="preserve">fijo · Antes del rehab: sentadilla española 5×45 s</t>
  </si>
  <si>
    <t xml:space="preserve">fijo · Tempo 3-1-3 · empieza por la lesionada</t>
  </si>
  <si>
    <t xml:space="preserve">Abs wesley banco</t>
  </si>
  <si>
    <t xml:space="preserve">Movilidad - trapecio inferior</t>
  </si>
  <si>
    <t xml:space="preserve">Autorregulación: si un músculo pierde reps 2 sesiones seguidas, esa semana NO le subas series. Si se estancan varios a la vez o la rodilla empeora en el test, repite la semana anterior.</t>
  </si>
  <si>
    <t xml:space="preserve">Semana 9 (14-20/12) · Viaje = descarga  ·  Semana 10 · Vuelta progresiva</t>
  </si>
  <si>
    <t xml:space="preserve">Hipertrofia: la semana sin entrenar hace de descarga justo después del pico de volumen de la semana 8.</t>
  </si>
  <si>
    <t xml:space="preserve">Rodilla (libro): nunca dejes el tendón en reposo total. Llévate la goma: sentadilla española 5×45 s cada día (sin anclaje → wall sit a 1 pierna). Sigue haciendo el test en declive por la mañana.</t>
  </si>
  <si>
    <t xml:space="preserve">Semana 10 (vuelta): hipertrofia con las series de la sem 3-4 y a RIR2. Rehab ×8 al ~80% del peso de la sem 8. Si el test de 24 h aguanta, semana 11 a peso completo y siguiente escalón del libro (×6).</t>
  </si>
  <si>
    <t xml:space="preserve">Series semanales por grupo muscular (se recalculan solas al cambiar la tabla)</t>
  </si>
  <si>
    <t xml:space="preserve">Grupo muscular</t>
  </si>
  <si>
    <t xml:space="preserve">Sem 1 → Sem 8</t>
  </si>
  <si>
    <t xml:space="preserve">Sem 1</t>
  </si>
  <si>
    <t xml:space="preserve">Sem 2</t>
  </si>
  <si>
    <t xml:space="preserve">Sem 3</t>
  </si>
  <si>
    <t xml:space="preserve">Sem 4</t>
  </si>
  <si>
    <t xml:space="preserve">Sem 5</t>
  </si>
  <si>
    <t xml:space="preserve">Sem 6</t>
  </si>
  <si>
    <t xml:space="preserve">Sem 7</t>
  </si>
  <si>
    <t xml:space="preserve">Sem 8</t>
  </si>
  <si>
    <t xml:space="preserve">TOTAL hipertrofia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</si>
</sst>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4D"/>
        <bgColor rgb="FF333333"/>
      </patternFill>
    </fill>
    <fill>
      <patternFill patternType="solid">
        <fgColor rgb="FFE7ECEF"/>
        <bgColor rgb="FFDDF0DD"/>
      </patternFill>
    </fill>
    <fill>
      <patternFill patternType="solid">
        <fgColor rgb="FF2E6E8E"/>
        <bgColor rgb="FF008080"/>
      </patternFill>
    </fill>
    <fill>
      <patternFill patternType="solid">
        <fgColor rgb="FFDDF0DD"/>
        <bgColor rgb="FFE7EC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8E"/>
      <rgbColor rgb="FFBBBBBB"/>
      <rgbColor rgb="FF808080"/>
      <rgbColor rgb="FF9999FF"/>
      <rgbColor rgb="FF993366"/>
      <rgbColor rgb="FFFFFFCC"/>
      <rgbColor rgb="FFE7EC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0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  <col collapsed="false" customWidth="true" hidden="false" outlineLevel="0" max="4" min="4" style="1" width="20"/>
    <col collapsed="false" customWidth="true" hidden="false" outlineLevel="0" max="5" min="5" style="1" width="34"/>
    <col collapsed="false" customWidth="true" hidden="false" outlineLevel="0" max="6" min="6" style="1" width="8.71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48" hidden="false" customHeight="true" outlineLevel="0" collapsed="false">
      <c r="A5" s="5" t="s">
        <v>3</v>
      </c>
      <c r="B5" s="6" t="s">
        <v>4</v>
      </c>
      <c r="C5" s="6"/>
      <c r="D5" s="6"/>
      <c r="E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48" hidden="false" customHeight="true" outlineLevel="0" collapsed="false">
      <c r="A6" s="5" t="s">
        <v>5</v>
      </c>
      <c r="B6" s="6" t="s">
        <v>6</v>
      </c>
      <c r="C6" s="6"/>
      <c r="D6" s="6"/>
      <c r="E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48" hidden="false" customHeight="true" outlineLevel="0" collapsed="false">
      <c r="A7" s="5" t="s">
        <v>7</v>
      </c>
      <c r="B7" s="6" t="s">
        <v>8</v>
      </c>
      <c r="C7" s="6"/>
      <c r="D7" s="6"/>
      <c r="E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48" hidden="false" customHeight="true" outlineLevel="0" collapsed="false">
      <c r="A8" s="5" t="s">
        <v>9</v>
      </c>
      <c r="B8" s="6" t="s">
        <v>10</v>
      </c>
      <c r="C8" s="6"/>
      <c r="D8" s="6"/>
      <c r="E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48" hidden="false" customHeight="true" outlineLevel="0" collapsed="false">
      <c r="A9" s="5" t="s">
        <v>11</v>
      </c>
      <c r="B9" s="6" t="s">
        <v>12</v>
      </c>
      <c r="C9" s="6"/>
      <c r="D9" s="6"/>
      <c r="E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4" t="s">
        <v>13</v>
      </c>
      <c r="B11" s="4"/>
      <c r="C11" s="4"/>
      <c r="D11" s="4"/>
      <c r="E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31.5" hidden="false" customHeight="true" outlineLevel="0" collapsed="false">
      <c r="A12" s="7" t="s">
        <v>14</v>
      </c>
      <c r="B12" s="7" t="s">
        <v>15</v>
      </c>
      <c r="C12" s="7" t="s">
        <v>16</v>
      </c>
      <c r="D12" s="7" t="s">
        <v>17</v>
      </c>
      <c r="E12" s="7" t="s">
        <v>18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6" t="s">
        <v>19</v>
      </c>
      <c r="B13" s="8" t="s">
        <v>20</v>
      </c>
      <c r="C13" s="8" t="s">
        <v>21</v>
      </c>
      <c r="D13" s="8" t="s">
        <v>22</v>
      </c>
      <c r="E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6" t="s">
        <v>23</v>
      </c>
      <c r="B14" s="8" t="s">
        <v>24</v>
      </c>
      <c r="C14" s="8" t="s">
        <v>25</v>
      </c>
      <c r="D14" s="8" t="s">
        <v>26</v>
      </c>
      <c r="E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6" t="s">
        <v>27</v>
      </c>
      <c r="B15" s="8" t="s">
        <v>24</v>
      </c>
      <c r="C15" s="8" t="s">
        <v>25</v>
      </c>
      <c r="D15" s="8" t="s">
        <v>26</v>
      </c>
      <c r="E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6" t="s">
        <v>28</v>
      </c>
      <c r="B16" s="8" t="s">
        <v>24</v>
      </c>
      <c r="C16" s="8" t="s">
        <v>24</v>
      </c>
      <c r="D16" s="8" t="s">
        <v>29</v>
      </c>
      <c r="E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6" t="s">
        <v>30</v>
      </c>
      <c r="B17" s="8" t="s">
        <v>24</v>
      </c>
      <c r="C17" s="8" t="s">
        <v>25</v>
      </c>
      <c r="D17" s="8" t="s">
        <v>29</v>
      </c>
      <c r="E17" s="6" t="s">
        <v>31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6" t="s">
        <v>32</v>
      </c>
      <c r="B18" s="8" t="s">
        <v>33</v>
      </c>
      <c r="C18" s="8" t="s">
        <v>33</v>
      </c>
      <c r="D18" s="8" t="s">
        <v>29</v>
      </c>
      <c r="E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6" t="s">
        <v>34</v>
      </c>
      <c r="B19" s="8" t="s">
        <v>35</v>
      </c>
      <c r="C19" s="8" t="s">
        <v>36</v>
      </c>
      <c r="D19" s="8" t="s">
        <v>29</v>
      </c>
      <c r="E19" s="6" t="s">
        <v>37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6" t="s">
        <v>38</v>
      </c>
      <c r="B20" s="8" t="s">
        <v>39</v>
      </c>
      <c r="C20" s="8" t="s">
        <v>29</v>
      </c>
      <c r="D20" s="8" t="s">
        <v>40</v>
      </c>
      <c r="E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6" t="s">
        <v>41</v>
      </c>
      <c r="B21" s="8" t="s">
        <v>26</v>
      </c>
      <c r="C21" s="8" t="s">
        <v>42</v>
      </c>
      <c r="D21" s="8" t="s">
        <v>40</v>
      </c>
      <c r="E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9" t="s">
        <v>11</v>
      </c>
      <c r="B22" s="10" t="s">
        <v>43</v>
      </c>
      <c r="C22" s="10" t="s">
        <v>43</v>
      </c>
      <c r="D22" s="10" t="s">
        <v>43</v>
      </c>
      <c r="E22" s="9" t="s">
        <v>44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1:E1"/>
    <mergeCell ref="A2:E2"/>
    <mergeCell ref="A4:E4"/>
    <mergeCell ref="B5:E5"/>
    <mergeCell ref="B6:E6"/>
    <mergeCell ref="B7:E7"/>
    <mergeCell ref="B8:E8"/>
    <mergeCell ref="B9:E9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5" min="5" style="1" width="30"/>
    <col collapsed="false" customWidth="true" hidden="false" outlineLevel="0" max="6" min="6" style="1" width="8.71"/>
  </cols>
  <sheetData>
    <row r="1" customFormat="false" ht="24" hidden="false" customHeight="true" outlineLevel="0" collapsed="false">
      <c r="A1" s="2" t="s">
        <v>45</v>
      </c>
      <c r="B1" s="2"/>
      <c r="C1" s="2"/>
      <c r="D1" s="2"/>
      <c r="E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1" t="s">
        <v>46</v>
      </c>
      <c r="B2" s="11"/>
      <c r="C2" s="11"/>
      <c r="D2" s="11"/>
      <c r="E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9.5" hidden="false" customHeight="true" outlineLevel="0" collapsed="false">
      <c r="A4" s="12" t="s">
        <v>47</v>
      </c>
      <c r="B4" s="12"/>
      <c r="C4" s="12"/>
      <c r="D4" s="12"/>
      <c r="E4" s="1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23.25" hidden="false" customHeight="true" outlineLevel="0" collapsed="false">
      <c r="A5" s="13" t="s">
        <v>48</v>
      </c>
      <c r="B5" s="13" t="s">
        <v>49</v>
      </c>
      <c r="C5" s="13" t="s">
        <v>50</v>
      </c>
      <c r="D5" s="13" t="s">
        <v>51</v>
      </c>
      <c r="E5" s="13" t="s">
        <v>52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6" t="s">
        <v>53</v>
      </c>
      <c r="B6" s="6" t="s">
        <v>54</v>
      </c>
      <c r="C6" s="8" t="s">
        <v>55</v>
      </c>
      <c r="D6" s="8" t="s">
        <v>56</v>
      </c>
      <c r="E6" s="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6" t="s">
        <v>57</v>
      </c>
      <c r="B7" s="6" t="s">
        <v>58</v>
      </c>
      <c r="C7" s="8" t="s">
        <v>59</v>
      </c>
      <c r="D7" s="8" t="s">
        <v>56</v>
      </c>
      <c r="E7" s="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9" t="s">
        <v>60</v>
      </c>
      <c r="B8" s="9" t="s">
        <v>61</v>
      </c>
      <c r="C8" s="10" t="s">
        <v>62</v>
      </c>
      <c r="D8" s="10" t="s">
        <v>62</v>
      </c>
      <c r="E8" s="10" t="s">
        <v>63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9" t="s">
        <v>64</v>
      </c>
      <c r="B9" s="9" t="s">
        <v>61</v>
      </c>
      <c r="C9" s="10" t="s">
        <v>62</v>
      </c>
      <c r="D9" s="10" t="s">
        <v>62</v>
      </c>
      <c r="E9" s="10" t="s">
        <v>63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9" t="s">
        <v>65</v>
      </c>
      <c r="B10" s="9" t="s">
        <v>61</v>
      </c>
      <c r="C10" s="10" t="s">
        <v>66</v>
      </c>
      <c r="D10" s="10" t="s">
        <v>66</v>
      </c>
      <c r="E10" s="10" t="s">
        <v>63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9" t="s">
        <v>67</v>
      </c>
      <c r="B11" s="9" t="s">
        <v>61</v>
      </c>
      <c r="C11" s="10" t="s">
        <v>68</v>
      </c>
      <c r="D11" s="10" t="s">
        <v>68</v>
      </c>
      <c r="E11" s="10" t="s">
        <v>69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9" t="s">
        <v>70</v>
      </c>
      <c r="B12" s="9" t="s">
        <v>61</v>
      </c>
      <c r="C12" s="10" t="s">
        <v>71</v>
      </c>
      <c r="D12" s="10" t="s">
        <v>71</v>
      </c>
      <c r="E12" s="10" t="s">
        <v>63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3.25" hidden="false" customHeight="true" outlineLevel="0" collapsed="false">
      <c r="A13" s="6" t="s">
        <v>72</v>
      </c>
      <c r="B13" s="6" t="s">
        <v>73</v>
      </c>
      <c r="C13" s="8" t="s">
        <v>55</v>
      </c>
      <c r="D13" s="8" t="s">
        <v>74</v>
      </c>
      <c r="E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9.5" hidden="false" customHeight="true" outlineLevel="0" collapsed="false">
      <c r="A15" s="12" t="s">
        <v>75</v>
      </c>
      <c r="B15" s="12"/>
      <c r="C15" s="12"/>
      <c r="D15" s="12"/>
      <c r="E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23.25" hidden="false" customHeight="true" outlineLevel="0" collapsed="false">
      <c r="A16" s="13" t="s">
        <v>48</v>
      </c>
      <c r="B16" s="13" t="s">
        <v>49</v>
      </c>
      <c r="C16" s="13" t="s">
        <v>50</v>
      </c>
      <c r="D16" s="13" t="s">
        <v>51</v>
      </c>
      <c r="E16" s="13" t="s">
        <v>52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6" t="s">
        <v>76</v>
      </c>
      <c r="B17" s="6" t="s">
        <v>23</v>
      </c>
      <c r="C17" s="8" t="s">
        <v>77</v>
      </c>
      <c r="D17" s="8" t="s">
        <v>78</v>
      </c>
      <c r="E17" s="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6" t="s">
        <v>79</v>
      </c>
      <c r="B18" s="6" t="s">
        <v>23</v>
      </c>
      <c r="C18" s="8" t="s">
        <v>55</v>
      </c>
      <c r="D18" s="8" t="s">
        <v>56</v>
      </c>
      <c r="E18" s="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6" t="s">
        <v>80</v>
      </c>
      <c r="B19" s="6" t="s">
        <v>81</v>
      </c>
      <c r="C19" s="8" t="s">
        <v>59</v>
      </c>
      <c r="D19" s="8" t="s">
        <v>82</v>
      </c>
      <c r="E19" s="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6" t="s">
        <v>83</v>
      </c>
      <c r="B20" s="6" t="s">
        <v>30</v>
      </c>
      <c r="C20" s="8" t="s">
        <v>77</v>
      </c>
      <c r="D20" s="8" t="s">
        <v>74</v>
      </c>
      <c r="E20" s="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6" t="s">
        <v>41</v>
      </c>
      <c r="B21" s="6" t="s">
        <v>41</v>
      </c>
      <c r="C21" s="8" t="s">
        <v>55</v>
      </c>
      <c r="D21" s="8" t="s">
        <v>56</v>
      </c>
      <c r="E21" s="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6" t="s">
        <v>32</v>
      </c>
      <c r="B22" s="6" t="s">
        <v>32</v>
      </c>
      <c r="C22" s="8" t="s">
        <v>77</v>
      </c>
      <c r="D22" s="8" t="s">
        <v>74</v>
      </c>
      <c r="E22" s="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9.5" hidden="false" customHeight="true" outlineLevel="0" collapsed="false">
      <c r="A24" s="12" t="s">
        <v>84</v>
      </c>
      <c r="B24" s="12"/>
      <c r="C24" s="12"/>
      <c r="D24" s="12"/>
      <c r="E24" s="1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3" t="s">
        <v>48</v>
      </c>
      <c r="B25" s="13" t="s">
        <v>49</v>
      </c>
      <c r="C25" s="13" t="s">
        <v>50</v>
      </c>
      <c r="D25" s="13" t="s">
        <v>51</v>
      </c>
      <c r="E25" s="13" t="s">
        <v>52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6" t="s">
        <v>85</v>
      </c>
      <c r="B26" s="6" t="s">
        <v>86</v>
      </c>
      <c r="C26" s="8" t="s">
        <v>77</v>
      </c>
      <c r="D26" s="8" t="s">
        <v>78</v>
      </c>
      <c r="E26" s="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6" t="s">
        <v>87</v>
      </c>
      <c r="B27" s="6" t="s">
        <v>86</v>
      </c>
      <c r="C27" s="8" t="s">
        <v>77</v>
      </c>
      <c r="D27" s="8" t="s">
        <v>74</v>
      </c>
      <c r="E27" s="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6" t="s">
        <v>88</v>
      </c>
      <c r="B28" s="6" t="s">
        <v>89</v>
      </c>
      <c r="C28" s="8" t="s">
        <v>55</v>
      </c>
      <c r="D28" s="8" t="s">
        <v>56</v>
      </c>
      <c r="E28" s="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6" t="s">
        <v>90</v>
      </c>
      <c r="B29" s="6" t="s">
        <v>91</v>
      </c>
      <c r="C29" s="8" t="s">
        <v>59</v>
      </c>
      <c r="D29" s="8" t="s">
        <v>82</v>
      </c>
      <c r="E29" s="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6" t="s">
        <v>92</v>
      </c>
      <c r="B30" s="6" t="s">
        <v>54</v>
      </c>
      <c r="C30" s="8" t="s">
        <v>55</v>
      </c>
      <c r="D30" s="8" t="s">
        <v>74</v>
      </c>
      <c r="E30" s="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6" t="s">
        <v>93</v>
      </c>
      <c r="B31" s="6" t="s">
        <v>94</v>
      </c>
      <c r="C31" s="8" t="s">
        <v>59</v>
      </c>
      <c r="D31" s="8" t="s">
        <v>82</v>
      </c>
      <c r="E31" s="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6" t="s">
        <v>95</v>
      </c>
      <c r="B32" s="6" t="s">
        <v>28</v>
      </c>
      <c r="C32" s="8" t="s">
        <v>77</v>
      </c>
      <c r="D32" s="8" t="s">
        <v>74</v>
      </c>
      <c r="E32" s="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9.5" hidden="false" customHeight="true" outlineLevel="0" collapsed="false">
      <c r="A34" s="12" t="s">
        <v>96</v>
      </c>
      <c r="B34" s="12"/>
      <c r="C34" s="12"/>
      <c r="D34" s="12"/>
      <c r="E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3" t="s">
        <v>48</v>
      </c>
      <c r="B35" s="13" t="s">
        <v>49</v>
      </c>
      <c r="C35" s="13" t="s">
        <v>50</v>
      </c>
      <c r="D35" s="13" t="s">
        <v>51</v>
      </c>
      <c r="E35" s="13" t="s">
        <v>52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9" t="s">
        <v>60</v>
      </c>
      <c r="B36" s="9" t="s">
        <v>61</v>
      </c>
      <c r="C36" s="10" t="s">
        <v>62</v>
      </c>
      <c r="D36" s="10" t="s">
        <v>62</v>
      </c>
      <c r="E36" s="10" t="s">
        <v>63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9" t="s">
        <v>64</v>
      </c>
      <c r="B37" s="9" t="s">
        <v>61</v>
      </c>
      <c r="C37" s="10" t="s">
        <v>62</v>
      </c>
      <c r="D37" s="10" t="s">
        <v>62</v>
      </c>
      <c r="E37" s="10" t="s">
        <v>63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9" t="s">
        <v>65</v>
      </c>
      <c r="B38" s="9" t="s">
        <v>61</v>
      </c>
      <c r="C38" s="10" t="s">
        <v>66</v>
      </c>
      <c r="D38" s="10" t="s">
        <v>66</v>
      </c>
      <c r="E38" s="10" t="s">
        <v>63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9" t="s">
        <v>67</v>
      </c>
      <c r="B39" s="9" t="s">
        <v>61</v>
      </c>
      <c r="C39" s="10" t="s">
        <v>68</v>
      </c>
      <c r="D39" s="10" t="s">
        <v>68</v>
      </c>
      <c r="E39" s="10" t="s">
        <v>63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9" t="s">
        <v>70</v>
      </c>
      <c r="B40" s="9" t="s">
        <v>61</v>
      </c>
      <c r="C40" s="10" t="s">
        <v>71</v>
      </c>
      <c r="D40" s="10" t="s">
        <v>71</v>
      </c>
      <c r="E40" s="10" t="s">
        <v>63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6" t="s">
        <v>72</v>
      </c>
      <c r="B41" s="6" t="s">
        <v>72</v>
      </c>
      <c r="C41" s="8" t="s">
        <v>55</v>
      </c>
      <c r="D41" s="8" t="s">
        <v>74</v>
      </c>
      <c r="E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6" t="s">
        <v>38</v>
      </c>
      <c r="B42" s="6" t="s">
        <v>97</v>
      </c>
      <c r="C42" s="8" t="s">
        <v>59</v>
      </c>
      <c r="D42" s="8" t="s">
        <v>56</v>
      </c>
      <c r="E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6" t="s">
        <v>41</v>
      </c>
      <c r="B43" s="6" t="s">
        <v>41</v>
      </c>
      <c r="C43" s="8" t="s">
        <v>59</v>
      </c>
      <c r="D43" s="8" t="s">
        <v>56</v>
      </c>
      <c r="E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9.5" hidden="false" customHeight="true" outlineLevel="0" collapsed="false">
      <c r="A45" s="12" t="s">
        <v>98</v>
      </c>
      <c r="B45" s="12"/>
      <c r="C45" s="12"/>
      <c r="D45" s="12"/>
      <c r="E45" s="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3" t="s">
        <v>48</v>
      </c>
      <c r="B46" s="13" t="s">
        <v>49</v>
      </c>
      <c r="C46" s="13" t="s">
        <v>50</v>
      </c>
      <c r="D46" s="13" t="s">
        <v>51</v>
      </c>
      <c r="E46" s="13" t="s">
        <v>52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6" t="s">
        <v>99</v>
      </c>
      <c r="B47" s="6" t="s">
        <v>86</v>
      </c>
      <c r="C47" s="8" t="s">
        <v>55</v>
      </c>
      <c r="D47" s="8" t="s">
        <v>56</v>
      </c>
      <c r="E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6" t="s">
        <v>100</v>
      </c>
      <c r="B48" s="6" t="s">
        <v>101</v>
      </c>
      <c r="C48" s="8" t="s">
        <v>55</v>
      </c>
      <c r="D48" s="8" t="s">
        <v>56</v>
      </c>
      <c r="E48" s="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6" t="s">
        <v>102</v>
      </c>
      <c r="B49" s="6" t="s">
        <v>54</v>
      </c>
      <c r="C49" s="8" t="s">
        <v>55</v>
      </c>
      <c r="D49" s="8" t="s">
        <v>56</v>
      </c>
      <c r="E49" s="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6" t="s">
        <v>103</v>
      </c>
      <c r="B50" s="6" t="s">
        <v>30</v>
      </c>
      <c r="C50" s="8" t="s">
        <v>55</v>
      </c>
      <c r="D50" s="8" t="s">
        <v>74</v>
      </c>
      <c r="E50" s="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6" t="s">
        <v>104</v>
      </c>
      <c r="B51" s="6" t="s">
        <v>30</v>
      </c>
      <c r="C51" s="8" t="s">
        <v>82</v>
      </c>
      <c r="D51" s="8" t="s">
        <v>105</v>
      </c>
      <c r="E51" s="8" t="s">
        <v>106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6" t="s">
        <v>107</v>
      </c>
      <c r="B52" s="6" t="s">
        <v>28</v>
      </c>
      <c r="C52" s="8" t="s">
        <v>55</v>
      </c>
      <c r="D52" s="8" t="s">
        <v>56</v>
      </c>
      <c r="E52" s="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6" t="s">
        <v>108</v>
      </c>
      <c r="B53" s="6" t="s">
        <v>109</v>
      </c>
      <c r="C53" s="8" t="s">
        <v>55</v>
      </c>
      <c r="D53" s="8" t="s">
        <v>56</v>
      </c>
      <c r="E53" s="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9.5" hidden="false" customHeight="true" outlineLevel="0" collapsed="false">
      <c r="A55" s="12" t="s">
        <v>110</v>
      </c>
      <c r="B55" s="12"/>
      <c r="C55" s="12"/>
      <c r="D55" s="12"/>
      <c r="E55" s="1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3" t="s">
        <v>48</v>
      </c>
      <c r="B56" s="13" t="s">
        <v>49</v>
      </c>
      <c r="C56" s="13" t="s">
        <v>50</v>
      </c>
      <c r="D56" s="13" t="s">
        <v>51</v>
      </c>
      <c r="E56" s="13" t="s">
        <v>52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9" t="s">
        <v>60</v>
      </c>
      <c r="B57" s="9" t="s">
        <v>61</v>
      </c>
      <c r="C57" s="10" t="s">
        <v>62</v>
      </c>
      <c r="D57" s="10" t="s">
        <v>62</v>
      </c>
      <c r="E57" s="10" t="s">
        <v>63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9" t="s">
        <v>64</v>
      </c>
      <c r="B58" s="9" t="s">
        <v>61</v>
      </c>
      <c r="C58" s="10" t="s">
        <v>62</v>
      </c>
      <c r="D58" s="10" t="s">
        <v>62</v>
      </c>
      <c r="E58" s="10" t="s">
        <v>63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9" t="s">
        <v>70</v>
      </c>
      <c r="B59" s="9" t="s">
        <v>61</v>
      </c>
      <c r="C59" s="10" t="s">
        <v>71</v>
      </c>
      <c r="D59" s="10" t="s">
        <v>71</v>
      </c>
      <c r="E59" s="10" t="s">
        <v>63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6" t="s">
        <v>32</v>
      </c>
      <c r="B60" s="6" t="s">
        <v>32</v>
      </c>
      <c r="C60" s="8" t="s">
        <v>55</v>
      </c>
      <c r="D60" s="8" t="s">
        <v>56</v>
      </c>
      <c r="E60" s="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6" t="s">
        <v>111</v>
      </c>
      <c r="B61" s="6" t="s">
        <v>112</v>
      </c>
      <c r="C61" s="8" t="s">
        <v>112</v>
      </c>
      <c r="D61" s="8" t="s">
        <v>112</v>
      </c>
      <c r="E61" s="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4" t="s">
        <v>113</v>
      </c>
      <c r="B62" s="14"/>
      <c r="C62" s="14"/>
      <c r="D62" s="14"/>
      <c r="E62" s="1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1:E1"/>
    <mergeCell ref="A2:E2"/>
    <mergeCell ref="A4:E4"/>
    <mergeCell ref="A15:E15"/>
    <mergeCell ref="A24:E24"/>
    <mergeCell ref="A34:E34"/>
    <mergeCell ref="A45:E45"/>
    <mergeCell ref="A55:E55"/>
    <mergeCell ref="A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8"/>
    <col collapsed="false" customWidth="true" hidden="false" outlineLevel="0" max="4" min="4" style="1" width="34"/>
    <col collapsed="false" customWidth="true" hidden="false" outlineLevel="0" max="6" min="5" style="1" width="8.71"/>
  </cols>
  <sheetData>
    <row r="1" customFormat="false" ht="24" hidden="false" customHeight="true" outlineLevel="0" collapsed="false">
      <c r="A1" s="2" t="s">
        <v>114</v>
      </c>
      <c r="B1" s="2"/>
      <c r="C1" s="2"/>
      <c r="D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1" t="s">
        <v>115</v>
      </c>
      <c r="B2" s="11"/>
      <c r="C2" s="11"/>
      <c r="D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12" t="s">
        <v>116</v>
      </c>
      <c r="B4" s="12"/>
      <c r="C4" s="12"/>
      <c r="D4" s="1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3" t="s">
        <v>48</v>
      </c>
      <c r="B5" s="13" t="s">
        <v>49</v>
      </c>
      <c r="C5" s="13" t="s">
        <v>117</v>
      </c>
      <c r="D5" s="13" t="s">
        <v>52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9" t="s">
        <v>60</v>
      </c>
      <c r="B6" s="9" t="s">
        <v>61</v>
      </c>
      <c r="C6" s="10" t="s">
        <v>62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9" t="s">
        <v>64</v>
      </c>
      <c r="B7" s="9" t="s">
        <v>61</v>
      </c>
      <c r="C7" s="10" t="s">
        <v>62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9" t="s">
        <v>65</v>
      </c>
      <c r="B8" s="9" t="s">
        <v>61</v>
      </c>
      <c r="C8" s="10" t="s">
        <v>66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9" t="s">
        <v>67</v>
      </c>
      <c r="B9" s="9" t="s">
        <v>61</v>
      </c>
      <c r="C9" s="10" t="s">
        <v>68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9" t="s">
        <v>70</v>
      </c>
      <c r="B10" s="9" t="s">
        <v>61</v>
      </c>
      <c r="C10" s="10" t="s">
        <v>71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6" t="s">
        <v>76</v>
      </c>
      <c r="B11" s="6" t="s">
        <v>23</v>
      </c>
      <c r="C11" s="8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6" t="s">
        <v>118</v>
      </c>
      <c r="B12" s="6" t="s">
        <v>54</v>
      </c>
      <c r="C12" s="8" t="s">
        <v>55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6" t="s">
        <v>83</v>
      </c>
      <c r="B13" s="6" t="s">
        <v>30</v>
      </c>
      <c r="C13" s="8" t="s">
        <v>59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2" t="s">
        <v>119</v>
      </c>
      <c r="B15" s="12"/>
      <c r="C15" s="12"/>
      <c r="D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3" t="s">
        <v>48</v>
      </c>
      <c r="B16" s="13" t="s">
        <v>49</v>
      </c>
      <c r="C16" s="13" t="s">
        <v>117</v>
      </c>
      <c r="D16" s="13" t="s">
        <v>52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9" t="s">
        <v>60</v>
      </c>
      <c r="B17" s="9" t="s">
        <v>61</v>
      </c>
      <c r="C17" s="10" t="s">
        <v>62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9" t="s">
        <v>64</v>
      </c>
      <c r="B18" s="9" t="s">
        <v>61</v>
      </c>
      <c r="C18" s="10" t="s">
        <v>62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9" t="s">
        <v>65</v>
      </c>
      <c r="B19" s="9" t="s">
        <v>61</v>
      </c>
      <c r="C19" s="10" t="s">
        <v>66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9" t="s">
        <v>67</v>
      </c>
      <c r="B20" s="9" t="s">
        <v>61</v>
      </c>
      <c r="C20" s="10" t="s">
        <v>68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9" t="s">
        <v>70</v>
      </c>
      <c r="B21" s="9" t="s">
        <v>61</v>
      </c>
      <c r="C21" s="10" t="s">
        <v>71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6" t="s">
        <v>85</v>
      </c>
      <c r="B22" s="6" t="s">
        <v>86</v>
      </c>
      <c r="C22" s="8" t="s">
        <v>55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6" t="s">
        <v>87</v>
      </c>
      <c r="B23" s="6" t="s">
        <v>86</v>
      </c>
      <c r="C23" s="8" t="s">
        <v>59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6" t="s">
        <v>95</v>
      </c>
      <c r="B24" s="6" t="s">
        <v>28</v>
      </c>
      <c r="C24" s="8" t="s">
        <v>55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2" t="s">
        <v>120</v>
      </c>
      <c r="B26" s="12"/>
      <c r="C26" s="12"/>
      <c r="D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3" t="s">
        <v>48</v>
      </c>
      <c r="B27" s="13" t="s">
        <v>49</v>
      </c>
      <c r="C27" s="13" t="s">
        <v>117</v>
      </c>
      <c r="D27" s="13" t="s">
        <v>52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9" t="s">
        <v>60</v>
      </c>
      <c r="B28" s="9" t="s">
        <v>61</v>
      </c>
      <c r="C28" s="10" t="s">
        <v>62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9" t="s">
        <v>64</v>
      </c>
      <c r="B29" s="9" t="s">
        <v>61</v>
      </c>
      <c r="C29" s="10" t="s">
        <v>62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9" t="s">
        <v>70</v>
      </c>
      <c r="B30" s="9" t="s">
        <v>61</v>
      </c>
      <c r="C30" s="10" t="s">
        <v>71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6" t="s">
        <v>100</v>
      </c>
      <c r="B31" s="6" t="s">
        <v>101</v>
      </c>
      <c r="C31" s="8" t="s">
        <v>59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6" t="s">
        <v>88</v>
      </c>
      <c r="B32" s="6" t="s">
        <v>86</v>
      </c>
      <c r="C32" s="8" t="s">
        <v>59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6" t="s">
        <v>118</v>
      </c>
      <c r="B33" s="6" t="s">
        <v>54</v>
      </c>
      <c r="C33" s="8" t="s">
        <v>59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6" t="s">
        <v>72</v>
      </c>
      <c r="B34" s="6" t="s">
        <v>72</v>
      </c>
      <c r="C34" s="8" t="s">
        <v>55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6" t="s">
        <v>32</v>
      </c>
      <c r="B35" s="6" t="s">
        <v>32</v>
      </c>
      <c r="C35" s="8" t="s">
        <v>55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4" t="s">
        <v>121</v>
      </c>
      <c r="B36" s="14"/>
      <c r="C36" s="14"/>
      <c r="D36" s="1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4" t="s">
        <v>122</v>
      </c>
      <c r="B39" s="4"/>
      <c r="C39" s="4"/>
      <c r="D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6" t="s">
        <v>123</v>
      </c>
      <c r="B40" s="6"/>
      <c r="C40" s="6"/>
      <c r="D40" s="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6" t="s">
        <v>124</v>
      </c>
      <c r="B41" s="6"/>
      <c r="C41" s="6"/>
      <c r="D41" s="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6" t="s">
        <v>125</v>
      </c>
      <c r="B42" s="6"/>
      <c r="C42" s="6"/>
      <c r="D42" s="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6" t="s">
        <v>126</v>
      </c>
      <c r="B43" s="6"/>
      <c r="C43" s="6"/>
      <c r="D43" s="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A1:D1"/>
    <mergeCell ref="A2:D2"/>
    <mergeCell ref="A4:D4"/>
    <mergeCell ref="A15:D15"/>
    <mergeCell ref="A26:D26"/>
    <mergeCell ref="A36:D36"/>
    <mergeCell ref="A39:D39"/>
    <mergeCell ref="A40:D40"/>
    <mergeCell ref="A41:D41"/>
    <mergeCell ref="A42:D42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11" min="3" style="1" width="13"/>
  </cols>
  <sheetData>
    <row r="1" customFormat="false" ht="24" hidden="false" customHeight="true" outlineLevel="0" collapsed="false">
      <c r="A1" s="2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9.75" hidden="false" customHeight="true" outlineLevel="0" collapsed="false">
      <c r="A2" s="11" t="s">
        <v>128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6"/>
      <c r="B3" s="6"/>
      <c r="C3" s="8"/>
      <c r="D3" s="8"/>
      <c r="E3" s="8"/>
      <c r="F3" s="8"/>
      <c r="G3" s="8"/>
      <c r="H3" s="8"/>
      <c r="I3" s="8"/>
      <c r="J3" s="8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9.5" hidden="false" customHeight="true" outlineLevel="0" collapsed="false">
      <c r="A4" s="15" t="s">
        <v>129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27" hidden="false" customHeight="true" outlineLevel="0" collapsed="false">
      <c r="A5" s="13" t="s">
        <v>48</v>
      </c>
      <c r="B5" s="13" t="s">
        <v>49</v>
      </c>
      <c r="C5" s="13" t="s">
        <v>50</v>
      </c>
      <c r="D5" s="13" t="s">
        <v>51</v>
      </c>
      <c r="E5" s="13" t="s">
        <v>130</v>
      </c>
      <c r="F5" s="13" t="s">
        <v>131</v>
      </c>
      <c r="G5" s="13" t="s">
        <v>132</v>
      </c>
      <c r="H5" s="13" t="s">
        <v>133</v>
      </c>
      <c r="I5" s="13" t="s">
        <v>134</v>
      </c>
      <c r="J5" s="13" t="s">
        <v>135</v>
      </c>
      <c r="K5" s="13" t="s">
        <v>52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true" outlineLevel="0" collapsed="false">
      <c r="A6" s="6" t="s">
        <v>136</v>
      </c>
      <c r="B6" s="6" t="s">
        <v>54</v>
      </c>
      <c r="C6" s="8" t="s">
        <v>137</v>
      </c>
      <c r="D6" s="8" t="s">
        <v>137</v>
      </c>
      <c r="E6" s="8" t="s">
        <v>137</v>
      </c>
      <c r="F6" s="8" t="s">
        <v>137</v>
      </c>
      <c r="G6" s="8" t="s">
        <v>137</v>
      </c>
      <c r="H6" s="8" t="s">
        <v>137</v>
      </c>
      <c r="I6" s="8" t="s">
        <v>137</v>
      </c>
      <c r="J6" s="8" t="s">
        <v>138</v>
      </c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true" outlineLevel="0" collapsed="false">
      <c r="A7" s="6" t="s">
        <v>139</v>
      </c>
      <c r="B7" s="6" t="s">
        <v>54</v>
      </c>
      <c r="C7" s="8" t="s">
        <v>105</v>
      </c>
      <c r="D7" s="8" t="s">
        <v>105</v>
      </c>
      <c r="E7" s="8" t="s">
        <v>105</v>
      </c>
      <c r="F7" s="8" t="s">
        <v>105</v>
      </c>
      <c r="G7" s="8" t="s">
        <v>137</v>
      </c>
      <c r="H7" s="8" t="s">
        <v>137</v>
      </c>
      <c r="I7" s="8" t="s">
        <v>137</v>
      </c>
      <c r="J7" s="8" t="s">
        <v>137</v>
      </c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43.5" hidden="false" customHeight="true" outlineLevel="0" collapsed="false">
      <c r="A8" s="9" t="s">
        <v>140</v>
      </c>
      <c r="B8" s="9" t="s">
        <v>61</v>
      </c>
      <c r="C8" s="10" t="s">
        <v>62</v>
      </c>
      <c r="D8" s="10" t="s">
        <v>62</v>
      </c>
      <c r="E8" s="10" t="s">
        <v>62</v>
      </c>
      <c r="F8" s="10" t="s">
        <v>62</v>
      </c>
      <c r="G8" s="10" t="s">
        <v>62</v>
      </c>
      <c r="H8" s="10" t="s">
        <v>62</v>
      </c>
      <c r="I8" s="10" t="s">
        <v>62</v>
      </c>
      <c r="J8" s="10" t="s">
        <v>62</v>
      </c>
      <c r="K8" s="9" t="s">
        <v>141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true" outlineLevel="0" collapsed="false">
      <c r="A9" s="9" t="s">
        <v>64</v>
      </c>
      <c r="B9" s="9" t="s">
        <v>61</v>
      </c>
      <c r="C9" s="10" t="s">
        <v>62</v>
      </c>
      <c r="D9" s="10" t="s">
        <v>62</v>
      </c>
      <c r="E9" s="10" t="s">
        <v>62</v>
      </c>
      <c r="F9" s="10" t="s">
        <v>62</v>
      </c>
      <c r="G9" s="10" t="s">
        <v>62</v>
      </c>
      <c r="H9" s="10" t="s">
        <v>62</v>
      </c>
      <c r="I9" s="10" t="s">
        <v>62</v>
      </c>
      <c r="J9" s="10" t="s">
        <v>62</v>
      </c>
      <c r="K9" s="10" t="s">
        <v>63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43.5" hidden="false" customHeight="true" outlineLevel="0" collapsed="false">
      <c r="A10" s="9" t="s">
        <v>142</v>
      </c>
      <c r="B10" s="9" t="s">
        <v>61</v>
      </c>
      <c r="C10" s="10" t="s">
        <v>71</v>
      </c>
      <c r="D10" s="10" t="s">
        <v>143</v>
      </c>
      <c r="E10" s="10" t="s">
        <v>143</v>
      </c>
      <c r="F10" s="10" t="s">
        <v>143</v>
      </c>
      <c r="G10" s="10" t="s">
        <v>144</v>
      </c>
      <c r="H10" s="10" t="s">
        <v>144</v>
      </c>
      <c r="I10" s="10" t="s">
        <v>144</v>
      </c>
      <c r="J10" s="10" t="s">
        <v>144</v>
      </c>
      <c r="K10" s="9" t="s">
        <v>145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true" outlineLevel="0" collapsed="false">
      <c r="A11" s="6" t="s">
        <v>41</v>
      </c>
      <c r="B11" s="6" t="s">
        <v>41</v>
      </c>
      <c r="C11" s="8" t="s">
        <v>138</v>
      </c>
      <c r="D11" s="8" t="s">
        <v>138</v>
      </c>
      <c r="E11" s="8" t="s">
        <v>146</v>
      </c>
      <c r="F11" s="8" t="s">
        <v>146</v>
      </c>
      <c r="G11" s="8" t="s">
        <v>146</v>
      </c>
      <c r="H11" s="8" t="s">
        <v>146</v>
      </c>
      <c r="I11" s="8" t="s">
        <v>147</v>
      </c>
      <c r="J11" s="8" t="s">
        <v>147</v>
      </c>
      <c r="K11" s="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6" t="s">
        <v>148</v>
      </c>
      <c r="B12" s="6" t="s">
        <v>72</v>
      </c>
      <c r="C12" s="8" t="s">
        <v>137</v>
      </c>
      <c r="D12" s="8" t="s">
        <v>137</v>
      </c>
      <c r="E12" s="8" t="s">
        <v>137</v>
      </c>
      <c r="F12" s="8" t="s">
        <v>138</v>
      </c>
      <c r="G12" s="8" t="s">
        <v>138</v>
      </c>
      <c r="H12" s="8" t="s">
        <v>138</v>
      </c>
      <c r="I12" s="8" t="s">
        <v>138</v>
      </c>
      <c r="J12" s="8" t="s">
        <v>146</v>
      </c>
      <c r="K12" s="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9.5" hidden="false" customHeight="true" outlineLevel="0" collapsed="false">
      <c r="A14" s="12" t="s">
        <v>75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27" hidden="false" customHeight="true" outlineLevel="0" collapsed="false">
      <c r="A15" s="13" t="s">
        <v>48</v>
      </c>
      <c r="B15" s="13" t="s">
        <v>49</v>
      </c>
      <c r="C15" s="13" t="s">
        <v>50</v>
      </c>
      <c r="D15" s="13" t="s">
        <v>51</v>
      </c>
      <c r="E15" s="13" t="s">
        <v>130</v>
      </c>
      <c r="F15" s="13" t="s">
        <v>131</v>
      </c>
      <c r="G15" s="13" t="s">
        <v>132</v>
      </c>
      <c r="H15" s="13" t="s">
        <v>133</v>
      </c>
      <c r="I15" s="13" t="s">
        <v>134</v>
      </c>
      <c r="J15" s="13" t="s">
        <v>135</v>
      </c>
      <c r="K15" s="13" t="s">
        <v>52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6" t="s">
        <v>149</v>
      </c>
      <c r="B16" s="6" t="s">
        <v>23</v>
      </c>
      <c r="C16" s="8" t="s">
        <v>137</v>
      </c>
      <c r="D16" s="8" t="s">
        <v>138</v>
      </c>
      <c r="E16" s="8" t="s">
        <v>138</v>
      </c>
      <c r="F16" s="8" t="s">
        <v>138</v>
      </c>
      <c r="G16" s="8" t="s">
        <v>138</v>
      </c>
      <c r="H16" s="8" t="s">
        <v>138</v>
      </c>
      <c r="I16" s="8" t="s">
        <v>138</v>
      </c>
      <c r="J16" s="8" t="s">
        <v>146</v>
      </c>
      <c r="K16" s="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true" outlineLevel="0" collapsed="false">
      <c r="A17" s="6" t="s">
        <v>150</v>
      </c>
      <c r="B17" s="6" t="s">
        <v>30</v>
      </c>
      <c r="C17" s="8" t="s">
        <v>137</v>
      </c>
      <c r="D17" s="8" t="s">
        <v>137</v>
      </c>
      <c r="E17" s="8" t="s">
        <v>137</v>
      </c>
      <c r="F17" s="8" t="s">
        <v>137</v>
      </c>
      <c r="G17" s="8" t="s">
        <v>138</v>
      </c>
      <c r="H17" s="8" t="s">
        <v>138</v>
      </c>
      <c r="I17" s="8" t="s">
        <v>138</v>
      </c>
      <c r="J17" s="8" t="s">
        <v>138</v>
      </c>
      <c r="K17" s="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true" outlineLevel="0" collapsed="false">
      <c r="A18" s="6" t="s">
        <v>151</v>
      </c>
      <c r="B18" s="6" t="s">
        <v>23</v>
      </c>
      <c r="C18" s="8" t="s">
        <v>137</v>
      </c>
      <c r="D18" s="8" t="s">
        <v>137</v>
      </c>
      <c r="E18" s="8" t="s">
        <v>137</v>
      </c>
      <c r="F18" s="8" t="s">
        <v>138</v>
      </c>
      <c r="G18" s="8" t="s">
        <v>138</v>
      </c>
      <c r="H18" s="8" t="s">
        <v>138</v>
      </c>
      <c r="I18" s="8" t="s">
        <v>138</v>
      </c>
      <c r="J18" s="8" t="s">
        <v>138</v>
      </c>
      <c r="K18" s="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true" outlineLevel="0" collapsed="false">
      <c r="A19" s="6" t="s">
        <v>152</v>
      </c>
      <c r="B19" s="6" t="s">
        <v>30</v>
      </c>
      <c r="C19" s="8" t="s">
        <v>105</v>
      </c>
      <c r="D19" s="8" t="s">
        <v>105</v>
      </c>
      <c r="E19" s="8" t="s">
        <v>137</v>
      </c>
      <c r="F19" s="8" t="s">
        <v>137</v>
      </c>
      <c r="G19" s="8" t="s">
        <v>137</v>
      </c>
      <c r="H19" s="8" t="s">
        <v>137</v>
      </c>
      <c r="I19" s="8" t="s">
        <v>137</v>
      </c>
      <c r="J19" s="8" t="s">
        <v>138</v>
      </c>
      <c r="K19" s="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true" outlineLevel="0" collapsed="false">
      <c r="A20" s="6" t="s">
        <v>32</v>
      </c>
      <c r="B20" s="6" t="s">
        <v>32</v>
      </c>
      <c r="C20" s="8" t="s">
        <v>138</v>
      </c>
      <c r="D20" s="8" t="s">
        <v>138</v>
      </c>
      <c r="E20" s="8" t="s">
        <v>138</v>
      </c>
      <c r="F20" s="8" t="s">
        <v>138</v>
      </c>
      <c r="G20" s="8" t="s">
        <v>146</v>
      </c>
      <c r="H20" s="8" t="s">
        <v>146</v>
      </c>
      <c r="I20" s="8" t="s">
        <v>146</v>
      </c>
      <c r="J20" s="8" t="s">
        <v>147</v>
      </c>
      <c r="K20" s="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6"/>
      <c r="B21" s="6"/>
      <c r="C21" s="8"/>
      <c r="D21" s="8"/>
      <c r="E21" s="8"/>
      <c r="F21" s="8"/>
      <c r="G21" s="8"/>
      <c r="H21" s="8"/>
      <c r="I21" s="8"/>
      <c r="J21" s="8"/>
      <c r="K21" s="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6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2" t="s">
        <v>84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27" hidden="false" customHeight="true" outlineLevel="0" collapsed="false">
      <c r="A24" s="13" t="s">
        <v>48</v>
      </c>
      <c r="B24" s="13" t="s">
        <v>49</v>
      </c>
      <c r="C24" s="13" t="s">
        <v>50</v>
      </c>
      <c r="D24" s="13" t="s">
        <v>51</v>
      </c>
      <c r="E24" s="13" t="s">
        <v>130</v>
      </c>
      <c r="F24" s="13" t="s">
        <v>131</v>
      </c>
      <c r="G24" s="13" t="s">
        <v>132</v>
      </c>
      <c r="H24" s="13" t="s">
        <v>133</v>
      </c>
      <c r="I24" s="13" t="s">
        <v>134</v>
      </c>
      <c r="J24" s="13" t="s">
        <v>135</v>
      </c>
      <c r="K24" s="13" t="s">
        <v>52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6" t="s">
        <v>153</v>
      </c>
      <c r="B25" s="6" t="s">
        <v>86</v>
      </c>
      <c r="C25" s="8" t="s">
        <v>137</v>
      </c>
      <c r="D25" s="8" t="s">
        <v>137</v>
      </c>
      <c r="E25" s="8" t="s">
        <v>137</v>
      </c>
      <c r="F25" s="8" t="s">
        <v>138</v>
      </c>
      <c r="G25" s="8" t="s">
        <v>138</v>
      </c>
      <c r="H25" s="8" t="s">
        <v>138</v>
      </c>
      <c r="I25" s="8" t="s">
        <v>138</v>
      </c>
      <c r="J25" s="8" t="s">
        <v>138</v>
      </c>
      <c r="K25" s="1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6" t="s">
        <v>154</v>
      </c>
      <c r="B26" s="6" t="s">
        <v>86</v>
      </c>
      <c r="C26" s="8" t="s">
        <v>137</v>
      </c>
      <c r="D26" s="8" t="s">
        <v>137</v>
      </c>
      <c r="E26" s="8" t="s">
        <v>137</v>
      </c>
      <c r="F26" s="8" t="s">
        <v>137</v>
      </c>
      <c r="G26" s="8" t="s">
        <v>137</v>
      </c>
      <c r="H26" s="8" t="s">
        <v>137</v>
      </c>
      <c r="I26" s="8" t="s">
        <v>137</v>
      </c>
      <c r="J26" s="8" t="s">
        <v>138</v>
      </c>
      <c r="K26" s="1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6" t="s">
        <v>155</v>
      </c>
      <c r="B27" s="6" t="s">
        <v>54</v>
      </c>
      <c r="C27" s="8" t="s">
        <v>105</v>
      </c>
      <c r="D27" s="8" t="s">
        <v>105</v>
      </c>
      <c r="E27" s="8" t="s">
        <v>137</v>
      </c>
      <c r="F27" s="8" t="s">
        <v>137</v>
      </c>
      <c r="G27" s="8" t="s">
        <v>137</v>
      </c>
      <c r="H27" s="8" t="s">
        <v>137</v>
      </c>
      <c r="I27" s="8" t="s">
        <v>138</v>
      </c>
      <c r="J27" s="8" t="s">
        <v>138</v>
      </c>
      <c r="K27" s="1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6" t="s">
        <v>156</v>
      </c>
      <c r="B28" s="6" t="s">
        <v>86</v>
      </c>
      <c r="C28" s="8" t="s">
        <v>105</v>
      </c>
      <c r="D28" s="8" t="s">
        <v>137</v>
      </c>
      <c r="E28" s="8" t="s">
        <v>137</v>
      </c>
      <c r="F28" s="8" t="s">
        <v>137</v>
      </c>
      <c r="G28" s="8" t="s">
        <v>137</v>
      </c>
      <c r="H28" s="8" t="s">
        <v>137</v>
      </c>
      <c r="I28" s="8" t="s">
        <v>137</v>
      </c>
      <c r="J28" s="8" t="s">
        <v>137</v>
      </c>
      <c r="K28" s="1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6" t="s">
        <v>157</v>
      </c>
      <c r="B29" s="6" t="s">
        <v>28</v>
      </c>
      <c r="C29" s="8" t="s">
        <v>137</v>
      </c>
      <c r="D29" s="8" t="s">
        <v>138</v>
      </c>
      <c r="E29" s="8" t="s">
        <v>138</v>
      </c>
      <c r="F29" s="8" t="s">
        <v>138</v>
      </c>
      <c r="G29" s="8" t="s">
        <v>138</v>
      </c>
      <c r="H29" s="8" t="s">
        <v>138</v>
      </c>
      <c r="I29" s="8" t="s">
        <v>138</v>
      </c>
      <c r="J29" s="8" t="s">
        <v>138</v>
      </c>
      <c r="K29" s="1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6" t="s">
        <v>158</v>
      </c>
      <c r="B30" s="6" t="s">
        <v>159</v>
      </c>
      <c r="C30" s="8" t="s">
        <v>105</v>
      </c>
      <c r="D30" s="8" t="s">
        <v>105</v>
      </c>
      <c r="E30" s="8" t="s">
        <v>137</v>
      </c>
      <c r="F30" s="8" t="s">
        <v>137</v>
      </c>
      <c r="G30" s="8" t="s">
        <v>137</v>
      </c>
      <c r="H30" s="8" t="s">
        <v>138</v>
      </c>
      <c r="I30" s="8" t="s">
        <v>138</v>
      </c>
      <c r="J30" s="8" t="s">
        <v>138</v>
      </c>
      <c r="K30" s="1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true" outlineLevel="0" collapsed="false">
      <c r="A31" s="6" t="s">
        <v>160</v>
      </c>
      <c r="B31" s="6" t="s">
        <v>28</v>
      </c>
      <c r="C31" s="8" t="s">
        <v>137</v>
      </c>
      <c r="D31" s="8" t="s">
        <v>137</v>
      </c>
      <c r="E31" s="8" t="s">
        <v>137</v>
      </c>
      <c r="F31" s="8" t="s">
        <v>137</v>
      </c>
      <c r="G31" s="8" t="s">
        <v>137</v>
      </c>
      <c r="H31" s="8" t="s">
        <v>138</v>
      </c>
      <c r="I31" s="8" t="s">
        <v>138</v>
      </c>
      <c r="J31" s="8" t="s">
        <v>146</v>
      </c>
      <c r="K31" s="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9.5" hidden="false" customHeight="true" outlineLevel="0" collapsed="false">
      <c r="A33" s="12" t="s">
        <v>96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27" hidden="false" customHeight="true" outlineLevel="0" collapsed="false">
      <c r="A34" s="13" t="s">
        <v>48</v>
      </c>
      <c r="B34" s="13" t="s">
        <v>49</v>
      </c>
      <c r="C34" s="13" t="s">
        <v>50</v>
      </c>
      <c r="D34" s="13" t="s">
        <v>51</v>
      </c>
      <c r="E34" s="13" t="s">
        <v>130</v>
      </c>
      <c r="F34" s="13" t="s">
        <v>131</v>
      </c>
      <c r="G34" s="13" t="s">
        <v>132</v>
      </c>
      <c r="H34" s="13" t="s">
        <v>133</v>
      </c>
      <c r="I34" s="13" t="s">
        <v>134</v>
      </c>
      <c r="J34" s="13" t="s">
        <v>135</v>
      </c>
      <c r="K34" s="13" t="s">
        <v>52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43.5" hidden="false" customHeight="true" outlineLevel="0" collapsed="false">
      <c r="A35" s="9" t="s">
        <v>60</v>
      </c>
      <c r="B35" s="9" t="s">
        <v>61</v>
      </c>
      <c r="C35" s="10" t="s">
        <v>62</v>
      </c>
      <c r="D35" s="10" t="s">
        <v>62</v>
      </c>
      <c r="E35" s="10" t="s">
        <v>62</v>
      </c>
      <c r="F35" s="10" t="s">
        <v>62</v>
      </c>
      <c r="G35" s="10" t="s">
        <v>62</v>
      </c>
      <c r="H35" s="10" t="s">
        <v>62</v>
      </c>
      <c r="I35" s="10" t="s">
        <v>62</v>
      </c>
      <c r="J35" s="10" t="s">
        <v>62</v>
      </c>
      <c r="K35" s="9" t="s">
        <v>141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9" t="s">
        <v>64</v>
      </c>
      <c r="B36" s="9" t="s">
        <v>61</v>
      </c>
      <c r="C36" s="10" t="s">
        <v>62</v>
      </c>
      <c r="D36" s="10" t="s">
        <v>62</v>
      </c>
      <c r="E36" s="10" t="s">
        <v>62</v>
      </c>
      <c r="F36" s="10" t="s">
        <v>62</v>
      </c>
      <c r="G36" s="10" t="s">
        <v>62</v>
      </c>
      <c r="H36" s="10" t="s">
        <v>62</v>
      </c>
      <c r="I36" s="10" t="s">
        <v>62</v>
      </c>
      <c r="J36" s="10" t="s">
        <v>62</v>
      </c>
      <c r="K36" s="1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43.5" hidden="false" customHeight="true" outlineLevel="0" collapsed="false">
      <c r="A37" s="9" t="s">
        <v>161</v>
      </c>
      <c r="B37" s="9" t="s">
        <v>61</v>
      </c>
      <c r="C37" s="10" t="s">
        <v>68</v>
      </c>
      <c r="D37" s="10" t="s">
        <v>162</v>
      </c>
      <c r="E37" s="10" t="s">
        <v>162</v>
      </c>
      <c r="F37" s="10" t="s">
        <v>162</v>
      </c>
      <c r="G37" s="10" t="s">
        <v>163</v>
      </c>
      <c r="H37" s="10" t="s">
        <v>163</v>
      </c>
      <c r="I37" s="10" t="s">
        <v>163</v>
      </c>
      <c r="J37" s="10" t="s">
        <v>163</v>
      </c>
      <c r="K37" s="9" t="s">
        <v>164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43.5" hidden="false" customHeight="true" outlineLevel="0" collapsed="false">
      <c r="A38" s="9" t="s">
        <v>70</v>
      </c>
      <c r="B38" s="9" t="s">
        <v>61</v>
      </c>
      <c r="C38" s="10" t="s">
        <v>71</v>
      </c>
      <c r="D38" s="10" t="s">
        <v>143</v>
      </c>
      <c r="E38" s="10" t="s">
        <v>143</v>
      </c>
      <c r="F38" s="10" t="s">
        <v>143</v>
      </c>
      <c r="G38" s="10" t="s">
        <v>144</v>
      </c>
      <c r="H38" s="10" t="s">
        <v>144</v>
      </c>
      <c r="I38" s="10" t="s">
        <v>144</v>
      </c>
      <c r="J38" s="10" t="s">
        <v>144</v>
      </c>
      <c r="K38" s="9" t="s">
        <v>165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6" t="s">
        <v>166</v>
      </c>
      <c r="B39" s="6" t="s">
        <v>72</v>
      </c>
      <c r="C39" s="8" t="s">
        <v>138</v>
      </c>
      <c r="D39" s="8" t="s">
        <v>146</v>
      </c>
      <c r="E39" s="8" t="s">
        <v>146</v>
      </c>
      <c r="F39" s="8" t="s">
        <v>146</v>
      </c>
      <c r="G39" s="8" t="s">
        <v>146</v>
      </c>
      <c r="H39" s="8" t="s">
        <v>147</v>
      </c>
      <c r="I39" s="8" t="s">
        <v>147</v>
      </c>
      <c r="J39" s="8" t="s">
        <v>147</v>
      </c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6" t="s">
        <v>38</v>
      </c>
      <c r="B40" s="6" t="s">
        <v>38</v>
      </c>
      <c r="C40" s="8" t="s">
        <v>137</v>
      </c>
      <c r="D40" s="8" t="s">
        <v>137</v>
      </c>
      <c r="E40" s="8" t="s">
        <v>137</v>
      </c>
      <c r="F40" s="8" t="s">
        <v>137</v>
      </c>
      <c r="G40" s="8" t="s">
        <v>138</v>
      </c>
      <c r="H40" s="8" t="s">
        <v>138</v>
      </c>
      <c r="I40" s="8" t="s">
        <v>138</v>
      </c>
      <c r="J40" s="8" t="s">
        <v>138</v>
      </c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6" t="s">
        <v>41</v>
      </c>
      <c r="B41" s="6" t="s">
        <v>41</v>
      </c>
      <c r="C41" s="8" t="s">
        <v>137</v>
      </c>
      <c r="D41" s="8" t="s">
        <v>138</v>
      </c>
      <c r="E41" s="8" t="s">
        <v>138</v>
      </c>
      <c r="F41" s="8" t="s">
        <v>138</v>
      </c>
      <c r="G41" s="8" t="s">
        <v>146</v>
      </c>
      <c r="H41" s="8" t="s">
        <v>146</v>
      </c>
      <c r="I41" s="8" t="s">
        <v>146</v>
      </c>
      <c r="J41" s="8" t="s">
        <v>147</v>
      </c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9.5" hidden="false" customHeight="true" outlineLevel="0" collapsed="false">
      <c r="A43" s="12" t="s">
        <v>167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27" hidden="false" customHeight="true" outlineLevel="0" collapsed="false">
      <c r="A44" s="13" t="s">
        <v>48</v>
      </c>
      <c r="B44" s="13" t="s">
        <v>49</v>
      </c>
      <c r="C44" s="13" t="s">
        <v>50</v>
      </c>
      <c r="D44" s="13" t="s">
        <v>51</v>
      </c>
      <c r="E44" s="13" t="s">
        <v>130</v>
      </c>
      <c r="F44" s="13" t="s">
        <v>131</v>
      </c>
      <c r="G44" s="13" t="s">
        <v>132</v>
      </c>
      <c r="H44" s="13" t="s">
        <v>133</v>
      </c>
      <c r="I44" s="13" t="s">
        <v>134</v>
      </c>
      <c r="J44" s="13" t="s">
        <v>135</v>
      </c>
      <c r="K44" s="13" t="s">
        <v>52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6" t="s">
        <v>168</v>
      </c>
      <c r="B45" s="6" t="s">
        <v>30</v>
      </c>
      <c r="C45" s="8" t="s">
        <v>105</v>
      </c>
      <c r="D45" s="8" t="s">
        <v>105</v>
      </c>
      <c r="E45" s="8" t="s">
        <v>105</v>
      </c>
      <c r="F45" s="8" t="s">
        <v>105</v>
      </c>
      <c r="G45" s="8" t="s">
        <v>105</v>
      </c>
      <c r="H45" s="8" t="s">
        <v>105</v>
      </c>
      <c r="I45" s="8" t="s">
        <v>105</v>
      </c>
      <c r="J45" s="8" t="s">
        <v>105</v>
      </c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6" t="s">
        <v>169</v>
      </c>
      <c r="B46" s="6" t="s">
        <v>54</v>
      </c>
      <c r="C46" s="8" t="s">
        <v>137</v>
      </c>
      <c r="D46" s="8" t="s">
        <v>137</v>
      </c>
      <c r="E46" s="8" t="s">
        <v>137</v>
      </c>
      <c r="F46" s="8" t="s">
        <v>137</v>
      </c>
      <c r="G46" s="8" t="s">
        <v>137</v>
      </c>
      <c r="H46" s="8" t="s">
        <v>137</v>
      </c>
      <c r="I46" s="8" t="s">
        <v>137</v>
      </c>
      <c r="J46" s="8" t="s">
        <v>137</v>
      </c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6" t="s">
        <v>170</v>
      </c>
      <c r="B47" s="6" t="s">
        <v>30</v>
      </c>
      <c r="C47" s="8" t="s">
        <v>137</v>
      </c>
      <c r="D47" s="8" t="s">
        <v>137</v>
      </c>
      <c r="E47" s="8" t="s">
        <v>137</v>
      </c>
      <c r="F47" s="8" t="s">
        <v>137</v>
      </c>
      <c r="G47" s="8" t="s">
        <v>137</v>
      </c>
      <c r="H47" s="8" t="s">
        <v>137</v>
      </c>
      <c r="I47" s="8" t="s">
        <v>138</v>
      </c>
      <c r="J47" s="8" t="s">
        <v>138</v>
      </c>
      <c r="K47" s="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6" t="s">
        <v>171</v>
      </c>
      <c r="B48" s="6" t="s">
        <v>28</v>
      </c>
      <c r="C48" s="8" t="s">
        <v>137</v>
      </c>
      <c r="D48" s="8" t="s">
        <v>137</v>
      </c>
      <c r="E48" s="8" t="s">
        <v>137</v>
      </c>
      <c r="F48" s="8" t="s">
        <v>138</v>
      </c>
      <c r="G48" s="8" t="s">
        <v>138</v>
      </c>
      <c r="H48" s="8" t="s">
        <v>138</v>
      </c>
      <c r="I48" s="8" t="s">
        <v>138</v>
      </c>
      <c r="J48" s="8" t="s">
        <v>138</v>
      </c>
      <c r="K48" s="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6" t="s">
        <v>172</v>
      </c>
      <c r="B49" s="6" t="s">
        <v>23</v>
      </c>
      <c r="C49" s="8" t="s">
        <v>137</v>
      </c>
      <c r="D49" s="8" t="s">
        <v>137</v>
      </c>
      <c r="E49" s="8" t="s">
        <v>137</v>
      </c>
      <c r="F49" s="8" t="s">
        <v>137</v>
      </c>
      <c r="G49" s="8" t="s">
        <v>137</v>
      </c>
      <c r="H49" s="8" t="s">
        <v>138</v>
      </c>
      <c r="I49" s="8" t="s">
        <v>138</v>
      </c>
      <c r="J49" s="8" t="s">
        <v>138</v>
      </c>
      <c r="K49" s="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6" t="s">
        <v>173</v>
      </c>
      <c r="B50" s="6" t="s">
        <v>86</v>
      </c>
      <c r="C50" s="8" t="s">
        <v>105</v>
      </c>
      <c r="D50" s="8" t="s">
        <v>105</v>
      </c>
      <c r="E50" s="8" t="s">
        <v>105</v>
      </c>
      <c r="F50" s="8" t="s">
        <v>105</v>
      </c>
      <c r="G50" s="8" t="s">
        <v>105</v>
      </c>
      <c r="H50" s="8" t="s">
        <v>137</v>
      </c>
      <c r="I50" s="8" t="s">
        <v>137</v>
      </c>
      <c r="J50" s="8" t="s">
        <v>137</v>
      </c>
      <c r="K50" s="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6" t="s">
        <v>174</v>
      </c>
      <c r="B51" s="6" t="s">
        <v>86</v>
      </c>
      <c r="C51" s="8" t="s">
        <v>137</v>
      </c>
      <c r="D51" s="8" t="s">
        <v>137</v>
      </c>
      <c r="E51" s="8" t="s">
        <v>137</v>
      </c>
      <c r="F51" s="8" t="s">
        <v>137</v>
      </c>
      <c r="G51" s="8" t="s">
        <v>137</v>
      </c>
      <c r="H51" s="8" t="s">
        <v>137</v>
      </c>
      <c r="I51" s="8" t="s">
        <v>137</v>
      </c>
      <c r="J51" s="8" t="s">
        <v>137</v>
      </c>
      <c r="K51" s="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true" outlineLevel="0" collapsed="false">
      <c r="A52" s="6" t="s">
        <v>175</v>
      </c>
      <c r="B52" s="6" t="s">
        <v>86</v>
      </c>
      <c r="C52" s="8" t="s">
        <v>137</v>
      </c>
      <c r="D52" s="8" t="s">
        <v>137</v>
      </c>
      <c r="E52" s="8" t="s">
        <v>137</v>
      </c>
      <c r="F52" s="8" t="s">
        <v>137</v>
      </c>
      <c r="G52" s="8" t="s">
        <v>137</v>
      </c>
      <c r="H52" s="8" t="s">
        <v>137</v>
      </c>
      <c r="I52" s="8" t="s">
        <v>137</v>
      </c>
      <c r="J52" s="8" t="s">
        <v>137</v>
      </c>
      <c r="K52" s="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9.5" hidden="false" customHeight="true" outlineLevel="0" collapsed="false">
      <c r="A54" s="12" t="s">
        <v>176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27" hidden="false" customHeight="true" outlineLevel="0" collapsed="false">
      <c r="A55" s="13" t="s">
        <v>48</v>
      </c>
      <c r="B55" s="13" t="s">
        <v>49</v>
      </c>
      <c r="C55" s="13" t="s">
        <v>50</v>
      </c>
      <c r="D55" s="13" t="s">
        <v>51</v>
      </c>
      <c r="E55" s="13" t="s">
        <v>130</v>
      </c>
      <c r="F55" s="13" t="s">
        <v>131</v>
      </c>
      <c r="G55" s="13" t="s">
        <v>132</v>
      </c>
      <c r="H55" s="13" t="s">
        <v>133</v>
      </c>
      <c r="I55" s="13" t="s">
        <v>134</v>
      </c>
      <c r="J55" s="13" t="s">
        <v>135</v>
      </c>
      <c r="K55" s="13" t="s">
        <v>52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43.5" hidden="false" customHeight="true" outlineLevel="0" collapsed="false">
      <c r="A56" s="9" t="s">
        <v>60</v>
      </c>
      <c r="B56" s="9" t="s">
        <v>61</v>
      </c>
      <c r="C56" s="10" t="s">
        <v>62</v>
      </c>
      <c r="D56" s="10" t="s">
        <v>62</v>
      </c>
      <c r="E56" s="10" t="s">
        <v>62</v>
      </c>
      <c r="F56" s="10" t="s">
        <v>62</v>
      </c>
      <c r="G56" s="10" t="s">
        <v>62</v>
      </c>
      <c r="H56" s="10" t="s">
        <v>62</v>
      </c>
      <c r="I56" s="10" t="s">
        <v>62</v>
      </c>
      <c r="J56" s="10" t="s">
        <v>62</v>
      </c>
      <c r="K56" s="9" t="s">
        <v>177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9" t="s">
        <v>64</v>
      </c>
      <c r="B57" s="9" t="s">
        <v>61</v>
      </c>
      <c r="C57" s="10" t="s">
        <v>62</v>
      </c>
      <c r="D57" s="10" t="s">
        <v>62</v>
      </c>
      <c r="E57" s="10" t="s">
        <v>62</v>
      </c>
      <c r="F57" s="10" t="s">
        <v>62</v>
      </c>
      <c r="G57" s="10" t="s">
        <v>62</v>
      </c>
      <c r="H57" s="10" t="s">
        <v>62</v>
      </c>
      <c r="I57" s="10" t="s">
        <v>62</v>
      </c>
      <c r="J57" s="10" t="s">
        <v>62</v>
      </c>
      <c r="K57" s="10" t="s">
        <v>63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43.5" hidden="false" customHeight="true" outlineLevel="0" collapsed="false">
      <c r="A58" s="9" t="s">
        <v>70</v>
      </c>
      <c r="B58" s="9" t="s">
        <v>61</v>
      </c>
      <c r="C58" s="10" t="s">
        <v>71</v>
      </c>
      <c r="D58" s="10" t="s">
        <v>143</v>
      </c>
      <c r="E58" s="10" t="s">
        <v>143</v>
      </c>
      <c r="F58" s="10" t="s">
        <v>143</v>
      </c>
      <c r="G58" s="10" t="s">
        <v>144</v>
      </c>
      <c r="H58" s="10" t="s">
        <v>144</v>
      </c>
      <c r="I58" s="10" t="s">
        <v>144</v>
      </c>
      <c r="J58" s="10" t="s">
        <v>144</v>
      </c>
      <c r="K58" s="9" t="s">
        <v>178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6" t="s">
        <v>179</v>
      </c>
      <c r="B59" s="6" t="s">
        <v>32</v>
      </c>
      <c r="C59" s="8" t="s">
        <v>137</v>
      </c>
      <c r="D59" s="8" t="s">
        <v>137</v>
      </c>
      <c r="E59" s="8" t="s">
        <v>138</v>
      </c>
      <c r="F59" s="8" t="s">
        <v>138</v>
      </c>
      <c r="G59" s="8" t="s">
        <v>138</v>
      </c>
      <c r="H59" s="8" t="s">
        <v>138</v>
      </c>
      <c r="I59" s="8" t="s">
        <v>146</v>
      </c>
      <c r="J59" s="8" t="s">
        <v>146</v>
      </c>
      <c r="K59" s="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6" t="s">
        <v>180</v>
      </c>
      <c r="B60" s="6" t="s">
        <v>112</v>
      </c>
      <c r="C60" s="8" t="s">
        <v>112</v>
      </c>
      <c r="D60" s="8" t="s">
        <v>112</v>
      </c>
      <c r="E60" s="8" t="s">
        <v>112</v>
      </c>
      <c r="F60" s="8" t="s">
        <v>112</v>
      </c>
      <c r="G60" s="8" t="s">
        <v>112</v>
      </c>
      <c r="H60" s="8" t="s">
        <v>112</v>
      </c>
      <c r="I60" s="8" t="s">
        <v>112</v>
      </c>
      <c r="J60" s="8" t="s">
        <v>112</v>
      </c>
      <c r="K60" s="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30" hidden="false" customHeight="true" outlineLevel="0" collapsed="false">
      <c r="A61" s="14" t="s">
        <v>181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9.5" hidden="false" customHeight="true" outlineLevel="0" collapsed="false">
      <c r="A63" s="12" t="s">
        <v>182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30" hidden="false" customHeight="true" outlineLevel="0" collapsed="false">
      <c r="A64" s="19" t="s">
        <v>183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30" hidden="false" customHeight="true" outlineLevel="0" collapsed="false">
      <c r="A65" s="19" t="s">
        <v>184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33.75" hidden="false" customHeight="true" outlineLevel="0" collapsed="false">
      <c r="A66" s="19" t="s">
        <v>185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9.5" hidden="false" customHeight="true" outlineLevel="0" collapsed="false">
      <c r="A68" s="20" t="s">
        <v>186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21" t="s">
        <v>187</v>
      </c>
      <c r="B69" s="21" t="s">
        <v>188</v>
      </c>
      <c r="C69" s="21" t="s">
        <v>189</v>
      </c>
      <c r="D69" s="21" t="s">
        <v>190</v>
      </c>
      <c r="E69" s="21" t="s">
        <v>191</v>
      </c>
      <c r="F69" s="21" t="s">
        <v>192</v>
      </c>
      <c r="G69" s="21" t="s">
        <v>193</v>
      </c>
      <c r="H69" s="21" t="s">
        <v>194</v>
      </c>
      <c r="I69" s="21" t="s">
        <v>195</v>
      </c>
      <c r="J69" s="21" t="s">
        <v>196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22" t="s">
        <v>86</v>
      </c>
      <c r="B70" s="23" t="str">
        <f aca="false">C70&amp;" → "&amp;J70</f>
        <v>10 → 14</v>
      </c>
      <c r="C70" s="23" t="n">
        <f aca="false">SUMPRODUCT(($B$3:$B$65="Espalda")*IFERROR(VALUE(LEFT(C$3:C$65,FIND(" ",C$3:C$65&amp;" ")-1)),0))</f>
        <v>10</v>
      </c>
      <c r="D70" s="23" t="n">
        <f aca="false">SUMPRODUCT(($B$3:$B$65="Espalda")*IFERROR(VALUE(LEFT(D$3:D$65,FIND(" ",D$3:D$65&amp;" ")-1)),0))</f>
        <v>11</v>
      </c>
      <c r="E70" s="23" t="n">
        <f aca="false">SUMPRODUCT(($B$3:$B$65="Espalda")*IFERROR(VALUE(LEFT(E$3:E$65,FIND(" ",E$3:E$65&amp;" ")-1)),0))</f>
        <v>11</v>
      </c>
      <c r="F70" s="23" t="n">
        <f aca="false">SUMPRODUCT(($B$3:$B$65="Espalda")*IFERROR(VALUE(LEFT(F$3:F$65,FIND(" ",F$3:F$65&amp;" ")-1)),0))</f>
        <v>12</v>
      </c>
      <c r="G70" s="23" t="n">
        <f aca="false">SUMPRODUCT(($B$3:$B$65="Espalda")*IFERROR(VALUE(LEFT(G$3:G$65,FIND(" ",G$3:G$65&amp;" ")-1)),0))</f>
        <v>12</v>
      </c>
      <c r="H70" s="23" t="n">
        <f aca="false">SUMPRODUCT(($B$3:$B$65="Espalda")*IFERROR(VALUE(LEFT(H$3:H$65,FIND(" ",H$3:H$65&amp;" ")-1)),0))</f>
        <v>13</v>
      </c>
      <c r="I70" s="23" t="n">
        <f aca="false">SUMPRODUCT(($B$3:$B$65="Espalda")*IFERROR(VALUE(LEFT(I$3:I$65,FIND(" ",I$3:I$65&amp;" ")-1)),0))</f>
        <v>13</v>
      </c>
      <c r="J70" s="23" t="n">
        <f aca="false">SUMPRODUCT(($B$3:$B$65="Espalda")*IFERROR(VALUE(LEFT(J$3:J$65,FIND(" ",J$3:J$65&amp;" ")-1)),0))</f>
        <v>14</v>
      </c>
      <c r="K70" s="2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22" t="s">
        <v>23</v>
      </c>
      <c r="B71" s="23" t="str">
        <f aca="false">C71&amp;" → "&amp;J71</f>
        <v>6 → 10</v>
      </c>
      <c r="C71" s="23" t="n">
        <f aca="false">SUMPRODUCT(($B$3:$B$65="Pecho")*IFERROR(VALUE(LEFT(C$3:C$65,FIND(" ",C$3:C$65&amp;" ")-1)),0))</f>
        <v>6</v>
      </c>
      <c r="D71" s="23" t="n">
        <f aca="false">SUMPRODUCT(($B$3:$B$65="Pecho")*IFERROR(VALUE(LEFT(D$3:D$65,FIND(" ",D$3:D$65&amp;" ")-1)),0))</f>
        <v>7</v>
      </c>
      <c r="E71" s="23" t="n">
        <f aca="false">SUMPRODUCT(($B$3:$B$65="Pecho")*IFERROR(VALUE(LEFT(E$3:E$65,FIND(" ",E$3:E$65&amp;" ")-1)),0))</f>
        <v>7</v>
      </c>
      <c r="F71" s="23" t="n">
        <f aca="false">SUMPRODUCT(($B$3:$B$65="Pecho")*IFERROR(VALUE(LEFT(F$3:F$65,FIND(" ",F$3:F$65&amp;" ")-1)),0))</f>
        <v>8</v>
      </c>
      <c r="G71" s="23" t="n">
        <f aca="false">SUMPRODUCT(($B$3:$B$65="Pecho")*IFERROR(VALUE(LEFT(G$3:G$65,FIND(" ",G$3:G$65&amp;" ")-1)),0))</f>
        <v>8</v>
      </c>
      <c r="H71" s="23" t="n">
        <f aca="false">SUMPRODUCT(($B$3:$B$65="Pecho")*IFERROR(VALUE(LEFT(H$3:H$65,FIND(" ",H$3:H$65&amp;" ")-1)),0))</f>
        <v>9</v>
      </c>
      <c r="I71" s="23" t="n">
        <f aca="false">SUMPRODUCT(($B$3:$B$65="Pecho")*IFERROR(VALUE(LEFT(I$3:I$65,FIND(" ",I$3:I$65&amp;" ")-1)),0))</f>
        <v>9</v>
      </c>
      <c r="J71" s="23" t="n">
        <f aca="false">SUMPRODUCT(($B$3:$B$65="Pecho")*IFERROR(VALUE(LEFT(J$3:J$65,FIND(" ",J$3:J$65&amp;" ")-1)),0))</f>
        <v>10</v>
      </c>
      <c r="K71" s="2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22" t="s">
        <v>54</v>
      </c>
      <c r="B72" s="23" t="str">
        <f aca="false">C72&amp;" → "&amp;J72</f>
        <v>6 → 10</v>
      </c>
      <c r="C72" s="23" t="n">
        <f aca="false">SUMPRODUCT(($B$3:$B$65="Hombro lat.")*IFERROR(VALUE(LEFT(C$3:C$65,FIND(" ",C$3:C$65&amp;" ")-1)),0))</f>
        <v>6</v>
      </c>
      <c r="D72" s="23" t="n">
        <f aca="false">SUMPRODUCT(($B$3:$B$65="Hombro lat.")*IFERROR(VALUE(LEFT(D$3:D$65,FIND(" ",D$3:D$65&amp;" ")-1)),0))</f>
        <v>6</v>
      </c>
      <c r="E72" s="23" t="n">
        <f aca="false">SUMPRODUCT(($B$3:$B$65="Hombro lat.")*IFERROR(VALUE(LEFT(E$3:E$65,FIND(" ",E$3:E$65&amp;" ")-1)),0))</f>
        <v>7</v>
      </c>
      <c r="F72" s="23" t="n">
        <f aca="false">SUMPRODUCT(($B$3:$B$65="Hombro lat.")*IFERROR(VALUE(LEFT(F$3:F$65,FIND(" ",F$3:F$65&amp;" ")-1)),0))</f>
        <v>7</v>
      </c>
      <c r="G72" s="23" t="n">
        <f aca="false">SUMPRODUCT(($B$3:$B$65="Hombro lat.")*IFERROR(VALUE(LEFT(G$3:G$65,FIND(" ",G$3:G$65&amp;" ")-1)),0))</f>
        <v>8</v>
      </c>
      <c r="H72" s="23" t="n">
        <f aca="false">SUMPRODUCT(($B$3:$B$65="Hombro lat.")*IFERROR(VALUE(LEFT(H$3:H$65,FIND(" ",H$3:H$65&amp;" ")-1)),0))</f>
        <v>8</v>
      </c>
      <c r="I72" s="23" t="n">
        <f aca="false">SUMPRODUCT(($B$3:$B$65="Hombro lat.")*IFERROR(VALUE(LEFT(I$3:I$65,FIND(" ",I$3:I$65&amp;" ")-1)),0))</f>
        <v>9</v>
      </c>
      <c r="J72" s="23" t="n">
        <f aca="false">SUMPRODUCT(($B$3:$B$65="Hombro lat.")*IFERROR(VALUE(LEFT(J$3:J$65,FIND(" ",J$3:J$65&amp;" ")-1)),0))</f>
        <v>10</v>
      </c>
      <c r="K72" s="2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22" t="s">
        <v>159</v>
      </c>
      <c r="B73" s="23" t="str">
        <f aca="false">C73&amp;" → "&amp;J73</f>
        <v>1 → 3</v>
      </c>
      <c r="C73" s="23" t="n">
        <f aca="false">SUMPRODUCT(($B$3:$B$65="Hombro post.")*IFERROR(VALUE(LEFT(C$3:C$65,FIND(" ",C$3:C$65&amp;" ")-1)),0))</f>
        <v>1</v>
      </c>
      <c r="D73" s="23" t="n">
        <f aca="false">SUMPRODUCT(($B$3:$B$65="Hombro post.")*IFERROR(VALUE(LEFT(D$3:D$65,FIND(" ",D$3:D$65&amp;" ")-1)),0))</f>
        <v>1</v>
      </c>
      <c r="E73" s="23" t="n">
        <f aca="false">SUMPRODUCT(($B$3:$B$65="Hombro post.")*IFERROR(VALUE(LEFT(E$3:E$65,FIND(" ",E$3:E$65&amp;" ")-1)),0))</f>
        <v>2</v>
      </c>
      <c r="F73" s="23" t="n">
        <f aca="false">SUMPRODUCT(($B$3:$B$65="Hombro post.")*IFERROR(VALUE(LEFT(F$3:F$65,FIND(" ",F$3:F$65&amp;" ")-1)),0))</f>
        <v>2</v>
      </c>
      <c r="G73" s="23" t="n">
        <f aca="false">SUMPRODUCT(($B$3:$B$65="Hombro post.")*IFERROR(VALUE(LEFT(G$3:G$65,FIND(" ",G$3:G$65&amp;" ")-1)),0))</f>
        <v>2</v>
      </c>
      <c r="H73" s="23" t="n">
        <f aca="false">SUMPRODUCT(($B$3:$B$65="Hombro post.")*IFERROR(VALUE(LEFT(H$3:H$65,FIND(" ",H$3:H$65&amp;" ")-1)),0))</f>
        <v>3</v>
      </c>
      <c r="I73" s="23" t="n">
        <f aca="false">SUMPRODUCT(($B$3:$B$65="Hombro post.")*IFERROR(VALUE(LEFT(I$3:I$65,FIND(" ",I$3:I$65&amp;" ")-1)),0))</f>
        <v>3</v>
      </c>
      <c r="J73" s="23" t="n">
        <f aca="false">SUMPRODUCT(($B$3:$B$65="Hombro post.")*IFERROR(VALUE(LEFT(J$3:J$65,FIND(" ",J$3:J$65&amp;" ")-1)),0))</f>
        <v>3</v>
      </c>
      <c r="K73" s="2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22" t="s">
        <v>28</v>
      </c>
      <c r="B74" s="23" t="str">
        <f aca="false">C74&amp;" → "&amp;J74</f>
        <v>6 → 10</v>
      </c>
      <c r="C74" s="23" t="n">
        <f aca="false">SUMPRODUCT(($B$3:$B$65="Bíceps")*IFERROR(VALUE(LEFT(C$3:C$65,FIND(" ",C$3:C$65&amp;" ")-1)),0))</f>
        <v>6</v>
      </c>
      <c r="D74" s="23" t="n">
        <f aca="false">SUMPRODUCT(($B$3:$B$65="Bíceps")*IFERROR(VALUE(LEFT(D$3:D$65,FIND(" ",D$3:D$65&amp;" ")-1)),0))</f>
        <v>7</v>
      </c>
      <c r="E74" s="23" t="n">
        <f aca="false">SUMPRODUCT(($B$3:$B$65="Bíceps")*IFERROR(VALUE(LEFT(E$3:E$65,FIND(" ",E$3:E$65&amp;" ")-1)),0))</f>
        <v>7</v>
      </c>
      <c r="F74" s="23" t="n">
        <f aca="false">SUMPRODUCT(($B$3:$B$65="Bíceps")*IFERROR(VALUE(LEFT(F$3:F$65,FIND(" ",F$3:F$65&amp;" ")-1)),0))</f>
        <v>8</v>
      </c>
      <c r="G74" s="23" t="n">
        <f aca="false">SUMPRODUCT(($B$3:$B$65="Bíceps")*IFERROR(VALUE(LEFT(G$3:G$65,FIND(" ",G$3:G$65&amp;" ")-1)),0))</f>
        <v>8</v>
      </c>
      <c r="H74" s="23" t="n">
        <f aca="false">SUMPRODUCT(($B$3:$B$65="Bíceps")*IFERROR(VALUE(LEFT(H$3:H$65,FIND(" ",H$3:H$65&amp;" ")-1)),0))</f>
        <v>9</v>
      </c>
      <c r="I74" s="23" t="n">
        <f aca="false">SUMPRODUCT(($B$3:$B$65="Bíceps")*IFERROR(VALUE(LEFT(I$3:I$65,FIND(" ",I$3:I$65&amp;" ")-1)),0))</f>
        <v>9</v>
      </c>
      <c r="J74" s="23" t="n">
        <f aca="false">SUMPRODUCT(($B$3:$B$65="Bíceps")*IFERROR(VALUE(LEFT(J$3:J$65,FIND(" ",J$3:J$65&amp;" ")-1)),0))</f>
        <v>10</v>
      </c>
      <c r="K74" s="2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22" t="s">
        <v>30</v>
      </c>
      <c r="B75" s="23" t="str">
        <f aca="false">C75&amp;" → "&amp;J75</f>
        <v>6 → 10</v>
      </c>
      <c r="C75" s="23" t="n">
        <f aca="false">SUMPRODUCT(($B$3:$B$65="Tríceps")*IFERROR(VALUE(LEFT(C$3:C$65,FIND(" ",C$3:C$65&amp;" ")-1)),0))</f>
        <v>6</v>
      </c>
      <c r="D75" s="23" t="n">
        <f aca="false">SUMPRODUCT(($B$3:$B$65="Tríceps")*IFERROR(VALUE(LEFT(D$3:D$65,FIND(" ",D$3:D$65&amp;" ")-1)),0))</f>
        <v>6</v>
      </c>
      <c r="E75" s="23" t="n">
        <f aca="false">SUMPRODUCT(($B$3:$B$65="Tríceps")*IFERROR(VALUE(LEFT(E$3:E$65,FIND(" ",E$3:E$65&amp;" ")-1)),0))</f>
        <v>7</v>
      </c>
      <c r="F75" s="23" t="n">
        <f aca="false">SUMPRODUCT(($B$3:$B$65="Tríceps")*IFERROR(VALUE(LEFT(F$3:F$65,FIND(" ",F$3:F$65&amp;" ")-1)),0))</f>
        <v>7</v>
      </c>
      <c r="G75" s="23" t="n">
        <f aca="false">SUMPRODUCT(($B$3:$B$65="Tríceps")*IFERROR(VALUE(LEFT(G$3:G$65,FIND(" ",G$3:G$65&amp;" ")-1)),0))</f>
        <v>8</v>
      </c>
      <c r="H75" s="23" t="n">
        <f aca="false">SUMPRODUCT(($B$3:$B$65="Tríceps")*IFERROR(VALUE(LEFT(H$3:H$65,FIND(" ",H$3:H$65&amp;" ")-1)),0))</f>
        <v>8</v>
      </c>
      <c r="I75" s="23" t="n">
        <f aca="false">SUMPRODUCT(($B$3:$B$65="Tríceps")*IFERROR(VALUE(LEFT(I$3:I$65,FIND(" ",I$3:I$65&amp;" ")-1)),0))</f>
        <v>9</v>
      </c>
      <c r="J75" s="23" t="n">
        <f aca="false">SUMPRODUCT(($B$3:$B$65="Tríceps")*IFERROR(VALUE(LEFT(J$3:J$65,FIND(" ",J$3:J$65&amp;" ")-1)),0))</f>
        <v>10</v>
      </c>
      <c r="K75" s="2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22" t="s">
        <v>72</v>
      </c>
      <c r="B76" s="23" t="str">
        <f aca="false">C76&amp;" → "&amp;J76</f>
        <v>5 → 9</v>
      </c>
      <c r="C76" s="23" t="n">
        <f aca="false">SUMPRODUCT(($B$3:$B$65="Isquios")*IFERROR(VALUE(LEFT(C$3:C$65,FIND(" ",C$3:C$65&amp;" ")-1)),0))</f>
        <v>5</v>
      </c>
      <c r="D76" s="23" t="n">
        <f aca="false">SUMPRODUCT(($B$3:$B$65="Isquios")*IFERROR(VALUE(LEFT(D$3:D$65,FIND(" ",D$3:D$65&amp;" ")-1)),0))</f>
        <v>6</v>
      </c>
      <c r="E76" s="23" t="n">
        <f aca="false">SUMPRODUCT(($B$3:$B$65="Isquios")*IFERROR(VALUE(LEFT(E$3:E$65,FIND(" ",E$3:E$65&amp;" ")-1)),0))</f>
        <v>6</v>
      </c>
      <c r="F76" s="23" t="n">
        <f aca="false">SUMPRODUCT(($B$3:$B$65="Isquios")*IFERROR(VALUE(LEFT(F$3:F$65,FIND(" ",F$3:F$65&amp;" ")-1)),0))</f>
        <v>7</v>
      </c>
      <c r="G76" s="23" t="n">
        <f aca="false">SUMPRODUCT(($B$3:$B$65="Isquios")*IFERROR(VALUE(LEFT(G$3:G$65,FIND(" ",G$3:G$65&amp;" ")-1)),0))</f>
        <v>7</v>
      </c>
      <c r="H76" s="23" t="n">
        <f aca="false">SUMPRODUCT(($B$3:$B$65="Isquios")*IFERROR(VALUE(LEFT(H$3:H$65,FIND(" ",H$3:H$65&amp;" ")-1)),0))</f>
        <v>8</v>
      </c>
      <c r="I76" s="23" t="n">
        <f aca="false">SUMPRODUCT(($B$3:$B$65="Isquios")*IFERROR(VALUE(LEFT(I$3:I$65,FIND(" ",I$3:I$65&amp;" ")-1)),0))</f>
        <v>8</v>
      </c>
      <c r="J76" s="23" t="n">
        <f aca="false">SUMPRODUCT(($B$3:$B$65="Isquios")*IFERROR(VALUE(LEFT(J$3:J$65,FIND(" ",J$3:J$65&amp;" ")-1)),0))</f>
        <v>9</v>
      </c>
      <c r="K76" s="2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22" t="s">
        <v>32</v>
      </c>
      <c r="B77" s="23" t="str">
        <f aca="false">C77&amp;" → "&amp;J77</f>
        <v>5 → 9</v>
      </c>
      <c r="C77" s="23" t="n">
        <f aca="false">SUMPRODUCT(($B$3:$B$65="Abs")*IFERROR(VALUE(LEFT(C$3:C$65,FIND(" ",C$3:C$65&amp;" ")-1)),0))</f>
        <v>5</v>
      </c>
      <c r="D77" s="23" t="n">
        <f aca="false">SUMPRODUCT(($B$3:$B$65="Abs")*IFERROR(VALUE(LEFT(D$3:D$65,FIND(" ",D$3:D$65&amp;" ")-1)),0))</f>
        <v>5</v>
      </c>
      <c r="E77" s="23" t="n">
        <f aca="false">SUMPRODUCT(($B$3:$B$65="Abs")*IFERROR(VALUE(LEFT(E$3:E$65,FIND(" ",E$3:E$65&amp;" ")-1)),0))</f>
        <v>6</v>
      </c>
      <c r="F77" s="23" t="n">
        <f aca="false">SUMPRODUCT(($B$3:$B$65="Abs")*IFERROR(VALUE(LEFT(F$3:F$65,FIND(" ",F$3:F$65&amp;" ")-1)),0))</f>
        <v>6</v>
      </c>
      <c r="G77" s="23" t="n">
        <f aca="false">SUMPRODUCT(($B$3:$B$65="Abs")*IFERROR(VALUE(LEFT(G$3:G$65,FIND(" ",G$3:G$65&amp;" ")-1)),0))</f>
        <v>7</v>
      </c>
      <c r="H77" s="23" t="n">
        <f aca="false">SUMPRODUCT(($B$3:$B$65="Abs")*IFERROR(VALUE(LEFT(H$3:H$65,FIND(" ",H$3:H$65&amp;" ")-1)),0))</f>
        <v>7</v>
      </c>
      <c r="I77" s="23" t="n">
        <f aca="false">SUMPRODUCT(($B$3:$B$65="Abs")*IFERROR(VALUE(LEFT(I$3:I$65,FIND(" ",I$3:I$65&amp;" ")-1)),0))</f>
        <v>8</v>
      </c>
      <c r="J77" s="23" t="n">
        <f aca="false">SUMPRODUCT(($B$3:$B$65="Abs")*IFERROR(VALUE(LEFT(J$3:J$65,FIND(" ",J$3:J$65&amp;" ")-1)),0))</f>
        <v>9</v>
      </c>
      <c r="K77" s="2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22" t="s">
        <v>41</v>
      </c>
      <c r="B78" s="23" t="str">
        <f aca="false">C78&amp;" → "&amp;J78</f>
        <v>5 → 10</v>
      </c>
      <c r="C78" s="23" t="n">
        <f aca="false">SUMPRODUCT(($B$3:$B$65="Gemelos")*IFERROR(VALUE(LEFT(C$3:C$65,FIND(" ",C$3:C$65&amp;" ")-1)),0))</f>
        <v>5</v>
      </c>
      <c r="D78" s="23" t="n">
        <f aca="false">SUMPRODUCT(($B$3:$B$65="Gemelos")*IFERROR(VALUE(LEFT(D$3:D$65,FIND(" ",D$3:D$65&amp;" ")-1)),0))</f>
        <v>6</v>
      </c>
      <c r="E78" s="23" t="n">
        <f aca="false">SUMPRODUCT(($B$3:$B$65="Gemelos")*IFERROR(VALUE(LEFT(E$3:E$65,FIND(" ",E$3:E$65&amp;" ")-1)),0))</f>
        <v>7</v>
      </c>
      <c r="F78" s="23" t="n">
        <f aca="false">SUMPRODUCT(($B$3:$B$65="Gemelos")*IFERROR(VALUE(LEFT(F$3:F$65,FIND(" ",F$3:F$65&amp;" ")-1)),0))</f>
        <v>7</v>
      </c>
      <c r="G78" s="23" t="n">
        <f aca="false">SUMPRODUCT(($B$3:$B$65="Gemelos")*IFERROR(VALUE(LEFT(G$3:G$65,FIND(" ",G$3:G$65&amp;" ")-1)),0))</f>
        <v>8</v>
      </c>
      <c r="H78" s="23" t="n">
        <f aca="false">SUMPRODUCT(($B$3:$B$65="Gemelos")*IFERROR(VALUE(LEFT(H$3:H$65,FIND(" ",H$3:H$65&amp;" ")-1)),0))</f>
        <v>8</v>
      </c>
      <c r="I78" s="23" t="n">
        <f aca="false">SUMPRODUCT(($B$3:$B$65="Gemelos")*IFERROR(VALUE(LEFT(I$3:I$65,FIND(" ",I$3:I$65&amp;" ")-1)),0))</f>
        <v>9</v>
      </c>
      <c r="J78" s="23" t="n">
        <f aca="false">SUMPRODUCT(($B$3:$B$65="Gemelos")*IFERROR(VALUE(LEFT(J$3:J$65,FIND(" ",J$3:J$65&amp;" ")-1)),0))</f>
        <v>10</v>
      </c>
      <c r="K78" s="2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22" t="s">
        <v>38</v>
      </c>
      <c r="B79" s="23" t="str">
        <f aca="false">C79&amp;" → "&amp;J79</f>
        <v>2 → 3</v>
      </c>
      <c r="C79" s="23" t="n">
        <f aca="false">SUMPRODUCT(($B$3:$B$65="Aductores")*IFERROR(VALUE(LEFT(C$3:C$65,FIND(" ",C$3:C$65&amp;" ")-1)),0))</f>
        <v>2</v>
      </c>
      <c r="D79" s="23" t="n">
        <f aca="false">SUMPRODUCT(($B$3:$B$65="Aductores")*IFERROR(VALUE(LEFT(D$3:D$65,FIND(" ",D$3:D$65&amp;" ")-1)),0))</f>
        <v>2</v>
      </c>
      <c r="E79" s="23" t="n">
        <f aca="false">SUMPRODUCT(($B$3:$B$65="Aductores")*IFERROR(VALUE(LEFT(E$3:E$65,FIND(" ",E$3:E$65&amp;" ")-1)),0))</f>
        <v>2</v>
      </c>
      <c r="F79" s="23" t="n">
        <f aca="false">SUMPRODUCT(($B$3:$B$65="Aductores")*IFERROR(VALUE(LEFT(F$3:F$65,FIND(" ",F$3:F$65&amp;" ")-1)),0))</f>
        <v>2</v>
      </c>
      <c r="G79" s="23" t="n">
        <f aca="false">SUMPRODUCT(($B$3:$B$65="Aductores")*IFERROR(VALUE(LEFT(G$3:G$65,FIND(" ",G$3:G$65&amp;" ")-1)),0))</f>
        <v>3</v>
      </c>
      <c r="H79" s="23" t="n">
        <f aca="false">SUMPRODUCT(($B$3:$B$65="Aductores")*IFERROR(VALUE(LEFT(H$3:H$65,FIND(" ",H$3:H$65&amp;" ")-1)),0))</f>
        <v>3</v>
      </c>
      <c r="I79" s="23" t="n">
        <f aca="false">SUMPRODUCT(($B$3:$B$65="Aductores")*IFERROR(VALUE(LEFT(I$3:I$65,FIND(" ",I$3:I$65&amp;" ")-1)),0))</f>
        <v>3</v>
      </c>
      <c r="J79" s="23" t="n">
        <f aca="false">SUMPRODUCT(($B$3:$B$65="Aductores")*IFERROR(VALUE(LEFT(J$3:J$65,FIND(" ",J$3:J$65&amp;" ")-1)),0))</f>
        <v>3</v>
      </c>
      <c r="K79" s="2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24" t="s">
        <v>197</v>
      </c>
      <c r="B80" s="21" t="str">
        <f aca="false">C80&amp;" → "&amp;J80</f>
        <v>52 → 88</v>
      </c>
      <c r="C80" s="21" t="n">
        <f aca="false">SUM(C70:C79)</f>
        <v>52</v>
      </c>
      <c r="D80" s="21" t="n">
        <f aca="false">SUM(D70:D79)</f>
        <v>57</v>
      </c>
      <c r="E80" s="21" t="n">
        <f aca="false">SUM(E70:E79)</f>
        <v>62</v>
      </c>
      <c r="F80" s="21" t="n">
        <f aca="false">SUM(F70:F79)</f>
        <v>66</v>
      </c>
      <c r="G80" s="21" t="n">
        <f aca="false">SUM(G70:G79)</f>
        <v>71</v>
      </c>
      <c r="H80" s="21" t="n">
        <f aca="false">SUM(H70:H79)</f>
        <v>76</v>
      </c>
      <c r="I80" s="21" t="n">
        <f aca="false">SUM(I70:I79)</f>
        <v>80</v>
      </c>
      <c r="J80" s="21" t="n">
        <f aca="false">SUM(J70:J79)</f>
        <v>88</v>
      </c>
      <c r="K80" s="2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5.75" hidden="false" customHeight="true" outlineLevel="0" collapsed="false"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customFormat="false" ht="15.75" hidden="false" customHeight="true" outlineLevel="0" collapsed="false"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customFormat="false" ht="15.75" hidden="false" customHeight="true" outlineLevel="0" collapsed="false"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customFormat="false" ht="15.75" hidden="false" customHeight="true" outlineLevel="0" collapsed="false"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customFormat="false" ht="15.75" hidden="false" customHeight="true" outlineLevel="0" collapsed="false"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customFormat="false" ht="15" hidden="false" customHeight="true" outlineLevel="0" collapsed="false"/>
    <row r="1007" customFormat="false" ht="15" hidden="false" customHeight="true" outlineLevel="0" collapsed="false"/>
    <row r="1008" customFormat="false" ht="15" hidden="false" customHeight="true" outlineLevel="0" collapsed="false"/>
    <row r="1009" customFormat="false" ht="15" hidden="false" customHeight="true" outlineLevel="0" collapsed="false"/>
    <row r="1010" customFormat="false" ht="15" hidden="false" customHeight="true" outlineLevel="0" collapsed="false"/>
    <row r="1011" customFormat="false" ht="15" hidden="false" customHeight="true" outlineLevel="0" collapsed="false"/>
  </sheetData>
  <mergeCells count="14">
    <mergeCell ref="A1:K1"/>
    <mergeCell ref="A2:K2"/>
    <mergeCell ref="A4:K4"/>
    <mergeCell ref="A14:K14"/>
    <mergeCell ref="A23:K23"/>
    <mergeCell ref="A33:K33"/>
    <mergeCell ref="A43:K43"/>
    <mergeCell ref="A54:K54"/>
    <mergeCell ref="A61:K61"/>
    <mergeCell ref="A63:K63"/>
    <mergeCell ref="A64:K64"/>
    <mergeCell ref="A65:K65"/>
    <mergeCell ref="A66:K66"/>
    <mergeCell ref="A68:K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2026-10-17T17:17:56Z</dcterms:created>
  <dc:creator>openpyxl</dc:creator>
  <dc:description/>
  <dc:language>en-US</dc:language>
  <cp:lastModifiedBy/>
  <dcterms:modified xsi:type="dcterms:W3CDTF">2026-10-17T17:18:28Z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