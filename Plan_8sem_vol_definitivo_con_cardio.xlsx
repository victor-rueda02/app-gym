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5"/>
  <workbookPr/>
  <xr:revisionPtr revIDLastSave="0" documentId="8_{81F97494-B287-AF4B-B875-A12BF2D1AA62}" xr6:coauthVersionLast="47" xr6:coauthVersionMax="47" xr10:uidLastSave="{00000000-0000-0000-0000-000000000000}"/>
  <bookViews>
    <workbookView xWindow="0" yWindow="0" windowWidth="16384" windowHeight="8192" tabRatio="500" activeTab="3" xr2:uid="{00000000-000D-0000-FFFF-FFFF00000000}"/>
  </bookViews>
  <sheets>
    <sheet name="Resumen" sheetId="1" r:id="rId1"/>
    <sheet name="Bloque A (20jul-2ago)" sheetId="2" r:id="rId2"/>
    <sheet name="Bloque B (3-16ago)" sheetId="3" r:id="rId3"/>
    <sheet name="Volumen (1910-1112)" sheetId="4" r:id="rId4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7" i="4" l="1"/>
  <c r="I87" i="4"/>
  <c r="H87" i="4"/>
  <c r="G87" i="4"/>
  <c r="F87" i="4"/>
  <c r="E87" i="4"/>
  <c r="D87" i="4"/>
  <c r="C87" i="4"/>
  <c r="B87" i="4"/>
  <c r="J86" i="4"/>
  <c r="I86" i="4"/>
  <c r="H86" i="4"/>
  <c r="G86" i="4"/>
  <c r="F86" i="4"/>
  <c r="E86" i="4"/>
  <c r="D86" i="4"/>
  <c r="C86" i="4"/>
  <c r="B86" i="4"/>
  <c r="J85" i="4"/>
  <c r="I85" i="4"/>
  <c r="H85" i="4"/>
  <c r="G85" i="4"/>
  <c r="F85" i="4"/>
  <c r="E85" i="4"/>
  <c r="D85" i="4"/>
  <c r="C85" i="4"/>
  <c r="B85" i="4"/>
  <c r="J84" i="4"/>
  <c r="I84" i="4"/>
  <c r="H84" i="4"/>
  <c r="G84" i="4"/>
  <c r="F84" i="4"/>
  <c r="E84" i="4"/>
  <c r="D84" i="4"/>
  <c r="C84" i="4"/>
  <c r="B84" i="4"/>
  <c r="J70" i="4"/>
  <c r="J71" i="4"/>
  <c r="J72" i="4"/>
  <c r="J73" i="4"/>
  <c r="J79" i="4"/>
  <c r="J78" i="4"/>
  <c r="J77" i="4"/>
  <c r="J76" i="4"/>
  <c r="J75" i="4"/>
  <c r="J74" i="4"/>
  <c r="J80" i="4"/>
  <c r="I70" i="4"/>
  <c r="I71" i="4"/>
  <c r="I72" i="4"/>
  <c r="I73" i="4"/>
  <c r="I79" i="4"/>
  <c r="I78" i="4"/>
  <c r="I77" i="4"/>
  <c r="I76" i="4"/>
  <c r="I75" i="4"/>
  <c r="I74" i="4"/>
  <c r="I80" i="4"/>
  <c r="H70" i="4"/>
  <c r="H71" i="4"/>
  <c r="H72" i="4"/>
  <c r="H73" i="4"/>
  <c r="H79" i="4"/>
  <c r="H78" i="4"/>
  <c r="H77" i="4"/>
  <c r="H76" i="4"/>
  <c r="H75" i="4"/>
  <c r="H74" i="4"/>
  <c r="H80" i="4"/>
  <c r="G70" i="4"/>
  <c r="G71" i="4"/>
  <c r="G72" i="4"/>
  <c r="G73" i="4"/>
  <c r="G79" i="4"/>
  <c r="G78" i="4"/>
  <c r="G77" i="4"/>
  <c r="G76" i="4"/>
  <c r="G75" i="4"/>
  <c r="G74" i="4"/>
  <c r="G80" i="4"/>
  <c r="F70" i="4"/>
  <c r="F71" i="4"/>
  <c r="F72" i="4"/>
  <c r="F73" i="4"/>
  <c r="F79" i="4"/>
  <c r="F78" i="4"/>
  <c r="F77" i="4"/>
  <c r="F76" i="4"/>
  <c r="F75" i="4"/>
  <c r="F74" i="4"/>
  <c r="F80" i="4"/>
  <c r="E70" i="4"/>
  <c r="E71" i="4"/>
  <c r="E72" i="4"/>
  <c r="E73" i="4"/>
  <c r="E79" i="4"/>
  <c r="E78" i="4"/>
  <c r="E77" i="4"/>
  <c r="E76" i="4"/>
  <c r="E75" i="4"/>
  <c r="E74" i="4"/>
  <c r="E80" i="4"/>
  <c r="D70" i="4"/>
  <c r="D71" i="4"/>
  <c r="D72" i="4"/>
  <c r="D73" i="4"/>
  <c r="D79" i="4"/>
  <c r="D78" i="4"/>
  <c r="D77" i="4"/>
  <c r="D76" i="4"/>
  <c r="D75" i="4"/>
  <c r="D74" i="4"/>
  <c r="D80" i="4"/>
  <c r="C70" i="4"/>
  <c r="C71" i="4"/>
  <c r="C72" i="4"/>
  <c r="C73" i="4"/>
  <c r="C79" i="4"/>
  <c r="C78" i="4"/>
  <c r="C77" i="4"/>
  <c r="C76" i="4"/>
  <c r="C75" i="4"/>
  <c r="C74" i="4"/>
  <c r="C80" i="4"/>
  <c r="B80" i="4"/>
  <c r="B79" i="4"/>
  <c r="B78" i="4"/>
  <c r="B77" i="4"/>
  <c r="B76" i="4"/>
  <c r="B75" i="4"/>
  <c r="B74" i="4"/>
  <c r="B73" i="4"/>
  <c r="B72" i="4"/>
  <c r="B71" i="4"/>
  <c r="B70" i="4"/>
</calcChain>
</file>

<file path=xl/sharedStrings.xml><?xml version="1.0" encoding="utf-8"?>
<sst xmlns="http://schemas.openxmlformats.org/spreadsheetml/2006/main" count="955" uniqueCount="258">
  <si>
    <t>PLAN 4 SEMANAS · 20 jul – 16 ago 2026</t>
  </si>
  <si>
    <t>Torso ya cebado (2 sem al fallo) → arranca en MAV1. Pierna 2 sem solo isométricos → reentra en MEV. Rehab FIJA.</t>
  </si>
  <si>
    <t>CÓMO ESTÁ PENSADO</t>
  </si>
  <si>
    <t>Punto de partida</t>
  </si>
  <si>
    <t>2 sem a volumen bajo + fallo/parciales/clusters en todo el torso (pecho, espalda, tríceps, lateral, posterior, bíceps). No estás desentrenado: estás cebado, con algo de fatiga acumulada. Pierna en cambio solo isométricos.</t>
  </si>
  <si>
    <t>Bloque A (20 jul–2 ago)</t>
  </si>
  <si>
    <t>5–6 días. TORSO: Sem 1 = MAV1 a 2 RIR (nos saltamos el MEV de reentrada), Sem 2 = MAV2 a 1 RIR. PIERNA: Sem 1 = MEV, Sem 2 = MAV1. Techo en MAV2: nada de MRV antes de la fiesta.</t>
  </si>
  <si>
    <t>Por qué 2 RIR en Sem 1</t>
  </si>
  <si>
    <t>Vienes de 2 sem enteras al fallo → subir volumen a MAV1 y seguir al fallo a la vez es picar volumen e intensidad juntos. Volumen arriba, intensidad un punto abajo; en Sem 2 ya aprietas a 1 RIR.</t>
  </si>
  <si>
    <t>Bloque B (3–16 ago)</t>
  </si>
  <si>
    <t>Beber fuerte + ~6 h sueño = sin recuperación real. MANTENIMIENTO: ~mitad de volumen, 3 días cortos, 2–3 RIR, sin fallo, sin progresar. Objetivo: no perder.</t>
  </si>
  <si>
    <t>Rodilla (rehab)</t>
  </si>
  <si>
    <t>FIJA las 4 semanas. El tendón quiere carga frecuente; descansar es contraproducente en tendinopatía. En fiesta: mantener rehab + isométricos, vigilar semáforo ≤3/10 y regla 24 h (alcohol/deshidratación empeoran el tendón).</t>
  </si>
  <si>
    <t>VOLUMEN OBJETIVO (series efectivas / músculo / semana)</t>
  </si>
  <si>
    <t>Músculo</t>
  </si>
  <si>
    <t>Sem 1
(MAV1 torso · 2 RIR)</t>
  </si>
  <si>
    <t>Sem 2
(MAV2 torso · 1 RIR)</t>
  </si>
  <si>
    <t>Sem 3–4
(mantenim. · 2–3 RIR)</t>
  </si>
  <si>
    <t>Nota</t>
  </si>
  <si>
    <t>Espalda + posterior</t>
  </si>
  <si>
    <t>11</t>
  </si>
  <si>
    <t>12</t>
  </si>
  <si>
    <t>3–4</t>
  </si>
  <si>
    <t>Pecho</t>
  </si>
  <si>
    <t>7</t>
  </si>
  <si>
    <t>8</t>
  </si>
  <si>
    <t>3</t>
  </si>
  <si>
    <t>Hombro lateral</t>
  </si>
  <si>
    <t>Bíceps</t>
  </si>
  <si>
    <t>2</t>
  </si>
  <si>
    <t>Tríceps</t>
  </si>
  <si>
    <t>+ el del press</t>
  </si>
  <si>
    <t>Abs</t>
  </si>
  <si>
    <t>6</t>
  </si>
  <si>
    <t>Isquios (accesorio)</t>
  </si>
  <si>
    <t>4  (MEV)</t>
  </si>
  <si>
    <t>6  (MAV1)</t>
  </si>
  <si>
    <t>rehab suma el resto</t>
  </si>
  <si>
    <t>Aductores</t>
  </si>
  <si>
    <t>1</t>
  </si>
  <si>
    <t>0–1</t>
  </si>
  <si>
    <t>Gemelos</t>
  </si>
  <si>
    <t>4</t>
  </si>
  <si>
    <t>FIJO</t>
  </si>
  <si>
    <t>no se toca</t>
  </si>
  <si>
    <t>BLOQUE A · 20 jul – 2 ago · ACUMULACIÓN (5–6 días)</t>
  </si>
  <si>
    <t>Torso arranca en MAV1 (ya cebado). Verde = rehab (FIJO). Sem 1 → 2 RIR · Sem 2 → 1 RIR (última de aislamiento al fallo opcional).</t>
  </si>
  <si>
    <t>(L) Lunes  ·  Rehab + Isquios + Hombro</t>
  </si>
  <si>
    <t>Ejercicio</t>
  </si>
  <si>
    <t>Objetivo</t>
  </si>
  <si>
    <t>Sem 1 (series@RIR)</t>
  </si>
  <si>
    <t>Sem 2 (series@RIR)</t>
  </si>
  <si>
    <t>Notas</t>
  </si>
  <si>
    <t>Laterales de pie</t>
  </si>
  <si>
    <t>Hombro lat.</t>
  </si>
  <si>
    <t>2 @ RIR2</t>
  </si>
  <si>
    <t>2 @ RIR1</t>
  </si>
  <si>
    <t>Laterales banco inclinado posterior</t>
  </si>
  <si>
    <t>Posterior</t>
  </si>
  <si>
    <t>1 @ RIR2</t>
  </si>
  <si>
    <t>Unilateral Abduction</t>
  </si>
  <si>
    <t>Rehab</t>
  </si>
  <si>
    <t>2 x15–20</t>
  </si>
  <si>
    <t>fijo</t>
  </si>
  <si>
    <t>Touchdown squat</t>
  </si>
  <si>
    <t>Unilateral Bridge iso</t>
  </si>
  <si>
    <t>2 (20 s)</t>
  </si>
  <si>
    <t>Zercher squat</t>
  </si>
  <si>
    <t>3 x12</t>
  </si>
  <si>
    <t>tempo controlado</t>
  </si>
  <si>
    <t>Bulgarian split squat</t>
  </si>
  <si>
    <t>2 x12</t>
  </si>
  <si>
    <t>Isquios</t>
  </si>
  <si>
    <t>Isquios (MEV→MAV1)</t>
  </si>
  <si>
    <t>3 @ RIR1</t>
  </si>
  <si>
    <t>(M) Martes  ·  Push</t>
  </si>
  <si>
    <t>Press inclinado manc</t>
  </si>
  <si>
    <t>3 @ RIR2</t>
  </si>
  <si>
    <t>4 @ RIR1</t>
  </si>
  <si>
    <t>Aperturas pecho manc + gomas</t>
  </si>
  <si>
    <t>Kaz press manc</t>
  </si>
  <si>
    <t>Pecho/hombro</t>
  </si>
  <si>
    <t>1 @ RIR1</t>
  </si>
  <si>
    <t>Extensión tríceps unil</t>
  </si>
  <si>
    <t>(X) Miércoles  ·  Pull</t>
  </si>
  <si>
    <t>Dominadas neutro</t>
  </si>
  <si>
    <t>Espalda</t>
  </si>
  <si>
    <t>Remo apoyado</t>
  </si>
  <si>
    <t>Pullover manc + gomas</t>
  </si>
  <si>
    <t>Dorsal</t>
  </si>
  <si>
    <t>Dominadas abducción hombro</t>
  </si>
  <si>
    <t>Espalda/post.</t>
  </si>
  <si>
    <t>Laterales sentado inclinado</t>
  </si>
  <si>
    <t>Arnold laterales</t>
  </si>
  <si>
    <t>Hombro</t>
  </si>
  <si>
    <t>Curl biceps</t>
  </si>
  <si>
    <t>(J) Jueves  ·  Rehab + Isquios + Aductores</t>
  </si>
  <si>
    <t>Aductores (MEV→MAV1)</t>
  </si>
  <si>
    <t>(V) Viernes  ·  Torso (upper completo)</t>
  </si>
  <si>
    <t>Dominadas neutras dorsal</t>
  </si>
  <si>
    <t>Press incl manc cerrado</t>
  </si>
  <si>
    <t>Pecho/tríceps</t>
  </si>
  <si>
    <t>Laterales inclinado estiramiento</t>
  </si>
  <si>
    <t>Triceps tras nuca</t>
  </si>
  <si>
    <t>Triceps conc</t>
  </si>
  <si>
    <t>1 @ RIR0</t>
  </si>
  <si>
    <t>última al fallo ok</t>
  </si>
  <si>
    <t>Curl biceps incl</t>
  </si>
  <si>
    <t>Curl martillo scott</t>
  </si>
  <si>
    <t>Bíceps/braquial</t>
  </si>
  <si>
    <t>(S) Sábado  ·  Rehab ligero + movilidad  (hazlo antes de salir el 25/07 y 01/08)</t>
  </si>
  <si>
    <t>Movilidad</t>
  </si>
  <si>
    <t>-</t>
  </si>
  <si>
    <t>(D) Domingo = descanso total. Hidrátate y prioriza proteína/sueño tras la fiesta.</t>
  </si>
  <si>
    <t>BLOQUE B · 3 – 16 ago · MANTENIMIENTO (fiesta 4–5 noches)</t>
  </si>
  <si>
    <t>Igual las 2 semanas. 3 días cortos. TODO a 2–3 RIR, SIN fallo. No progresar: solo mantener.</t>
  </si>
  <si>
    <t>Día 1  ·  Rehab + Push mínimo</t>
  </si>
  <si>
    <t>Series@RIR</t>
  </si>
  <si>
    <t>Laterales</t>
  </si>
  <si>
    <t>Día 2  ·  Rehab + Pull mínimo</t>
  </si>
  <si>
    <t>Día 3  ·  Rehab ligero + full mínimo</t>
  </si>
  <si>
    <t>Coloca los 3 días en tus jornadas MENOS resacosas. Entrena ANTES de beber, nunca la mañana de después. Si un día es inviable: solo rehab/isométricos.</t>
  </si>
  <si>
    <t>REGLAS RODILLA (todo el bloque)</t>
  </si>
  <si>
    <t>•  Semáforo: hasta 3/10 durante/justo después es aceptable.</t>
  </si>
  <si>
    <t>•  Regla 24 h: si al día siguiente el dolor sube y no baja, no progreses esa carga.</t>
  </si>
  <si>
    <t>•  Alcohol y deshidratación pueden empeorar el tendón: extrema hidratación.</t>
  </si>
  <si>
    <t>•  Tras el 16/08: retoma tu mesociclo normal reentrando en MEV.</t>
  </si>
  <si>
    <t>Volumen · 19/10 – 13/12 · 8 semanas (sem 9 = viaje/descarga)</t>
  </si>
  <si>
    <t>RIR1/0 = todas las series a RIR1 y la ÚLTIMA a RIR0 (si solo hay 1 serie, RIR0).  Rehab (Rebuilding Milo): ×12 sem 1 → ×10 sem 2-4 → ×8 sem 5-8 → ×6 tras el viaje; peso con el que la última serie quede cerca del fallo sin perder tempo 3-1-3 ni profundidad, dolor ≤3/10; sube peso solo si el test de 24 h está igual o mejor.</t>
  </si>
  <si>
    <t>(L) Lunes  ·  Rehab + Isquios + Hombro + Gemelo</t>
  </si>
  <si>
    <t>Sem 3 (series@RIR)</t>
  </si>
  <si>
    <t>Sem 4 (series@RIR)</t>
  </si>
  <si>
    <t>Sem 5 (series@RIR)</t>
  </si>
  <si>
    <t>Sem 6 (series@RIR)</t>
  </si>
  <si>
    <t>Sem 7 (series@RIR)</t>
  </si>
  <si>
    <t>Sem 8 (series@RIR)</t>
  </si>
  <si>
    <t>Elev laterales polea</t>
  </si>
  <si>
    <t>2 @ RIR1/0</t>
  </si>
  <si>
    <t>3 @ RIR1/0</t>
  </si>
  <si>
    <t>Prioridad 1 · Polea altura muñeca/muslo en plano escapular (~30° adelante). Intercalar en superserie alterna con Unilateral abduction para dar 3-4 min de descanso al deltoides antes de las mancuernas.</t>
  </si>
  <si>
    <t>Elev laterales mancuerna</t>
  </si>
  <si>
    <t>Prioridad 1 · Hacer tras el 1er bloque de Unilateral abduction · Perfil en acortamiento, controlar bajada sin rebotar.</t>
  </si>
  <si>
    <t>Unilateral abduction</t>
  </si>
  <si>
    <t>Antes del rehab: sentadilla española 5×45 s</t>
  </si>
  <si>
    <t>Prensa unil</t>
  </si>
  <si>
    <t>2 x10</t>
  </si>
  <si>
    <t>2 x8</t>
  </si>
  <si>
    <t>fijo · Tempo 3-1-3 · dolor ≤3/10</t>
  </si>
  <si>
    <t>4 @ RIR1/0</t>
  </si>
  <si>
    <t>5 @ RIR1/0</t>
  </si>
  <si>
    <t>Prensa con pies abajo · Pausa estricta de 2 s en máximo estiramiento abajo (sin rebotar en el tendón de Aquiles) + rodilla semirrígida.</t>
  </si>
  <si>
    <t>Hiperextensiones</t>
  </si>
  <si>
    <t>Extensión de cadera · Rodillas con ligera flexión fija (~10-15°), subir empujando talones sin hiperextender zona lumbar.</t>
  </si>
  <si>
    <t>Press inclinado barra (30–40°)</t>
  </si>
  <si>
    <t>Prioridad 4 (Haz clavicular) · Agarre ~1.3x ancho hombros y codos a 45–60° (plano escapular) para proteger hombro y codo.</t>
  </si>
  <si>
    <t>Extensión tríceps unil polea</t>
  </si>
  <si>
    <t>Prioridad 2 (Tríceps) · Hombro a 0° pegado al costado (máxima palanca de cabeza larga sin estrés articular en codo).</t>
  </si>
  <si>
    <t>Contractora (Pec Deck)</t>
  </si>
  <si>
    <t>Prioridad 4 (Haz clavicular/esternal) · Asiento medio-bajo (manos altura clavícula/esternón sup.) · NO hiperextender húmeros detrás del torso al abrir para no irritar cápsula anterior del hombro.</t>
  </si>
  <si>
    <t>Triceps tras nuca unil polea</t>
  </si>
  <si>
    <t>Prioridad 2 (Tríceps en estiramiento) · Dejar que el codo apunte ligeramente hacia fuera (~20-30° plano escapular) para no forzar cápsula del hombro ni tendón olecraniano.</t>
  </si>
  <si>
    <t>Abs colgado (retroversión)</t>
  </si>
  <si>
    <t>Colgado con depresión escapular (activa dorsal) · Enrollar pelvis hacia costillas (retroversión). Usar straps si el agarre molesta al codo.</t>
  </si>
  <si>
    <t>Jalón ancho plano frontal</t>
  </si>
  <si>
    <t>Prioridad 3 (Dorsal Bajo) · 1º fresco · Torso vertical, codos abiertos en plano frontal hasta ~90° · No encoger hombros.</t>
  </si>
  <si>
    <t>Remo gironda abierto</t>
  </si>
  <si>
    <t>Plano transversal (Espalda Alta) · Codos abiertos y retracción escapular completa.</t>
  </si>
  <si>
    <t>Laterales sentado</t>
  </si>
  <si>
    <t>Prioridad 1 (Hombro Lat.) · Sentado en banco a 75–80°, abducir en plano escapular (~30° adelante) sin rotar internamente el hombro.</t>
  </si>
  <si>
    <t>Plano sagital (Dorsal Sup.) · Agarre neutro ancho hombros, llevar codos a los bolsillos cortando a 90° (protege codo/bíceps).</t>
  </si>
  <si>
    <t xml:space="preserve">Curl martillo scott </t>
  </si>
  <si>
    <t>Prioridad 2 (Bíceps/Braquiorradial) · Agarre neutro (muy amigable para el codo). Bajar en 2-3 s y parar a ~15° de la extensión total para no sobrecargar tendón distal.</t>
  </si>
  <si>
    <t>Posterior polea</t>
  </si>
  <si>
    <t>Hombro post.</t>
  </si>
  <si>
    <t>Salud Hombro / Transversal · Clave para centrar cabeza humeral y compensar presses.</t>
  </si>
  <si>
    <t>Curl bayesian</t>
  </si>
  <si>
    <t>Prioridad 2 (Bíceps en estiramiento) · Hombro en extensión detrás del torso; no dejar que el hombro rote hacia delante al subir.</t>
  </si>
  <si>
    <t>Back squat</t>
  </si>
  <si>
    <t>3 x10</t>
  </si>
  <si>
    <t>3 x8</t>
  </si>
  <si>
    <t>Al cajón: tope + pausa 1 s · tempo 3-1-3</t>
  </si>
  <si>
    <t>Tempo 3-1-3 · empieza por la lesionada</t>
  </si>
  <si>
    <t>Isquios sentado</t>
  </si>
  <si>
    <t>Isquios en estiramiento máximo (cadera a 90°) · Controlar fase excéntrica.</t>
  </si>
  <si>
    <t>Plano transversal/frontal · Pausa de 1 s en apertura máxima sin dolor inguinal/rodilla.</t>
  </si>
  <si>
    <t>Prensa con pies abajo · Pausa estricta de 2 s en máximo estiramiento abajo (sin rebote elástico).</t>
  </si>
  <si>
    <t>(V) Viernes  ·  Torso</t>
  </si>
  <si>
    <t>Triceps conc polea (-15°)</t>
  </si>
  <si>
    <t>Prioridad 2 + Potenciación de codo · Hombro a -15° (extensión): máximo acortamiento de cabeza larga con torque nulo en flexión máxima de codo (calienta tendón para el francés).</t>
  </si>
  <si>
    <t>Laterales polea</t>
  </si>
  <si>
    <t>Prioridad 1 (Hombro Lat.) · Polea a altura de muñeca/muslo, abducción en plano escapular.</t>
  </si>
  <si>
    <t>Press francés manc (banco plano)</t>
  </si>
  <si>
    <t>Prioridad 2 (Tríceps) · Agarre neutro (martillo) y brazos inclinados a ~100° hacia la cabeza: quita cizalla en epitróclea/olécranon y mantiene tensión constante.</t>
  </si>
  <si>
    <t>Curl biceps barra z</t>
  </si>
  <si>
    <t>Prioridad 2 (Bíceps rango medio) · Usar el agarre de la barra Z (ancho o estrecho) que resulte 100% libre de molestia en muñeca y codo.</t>
  </si>
  <si>
    <t>Press máquina neutro ascendente</t>
  </si>
  <si>
    <t>Prioridad 4 (Haz clavicular) · 10/10 tras brazos: el agarre neutro y la trayectoria convergente ascendente aíslan el haz clavicular sin estrés en hombro ni codo.</t>
  </si>
  <si>
    <t>Dominada neutra dorsal</t>
  </si>
  <si>
    <t>Plano sagital (Dorsal Sup.) · Usar STRAPS obligatoriamente para anular fatiga previa de bíceps y proteger codos.</t>
  </si>
  <si>
    <t>Remo máquina (pecho apoyado 30°)</t>
  </si>
  <si>
    <t>Plano sagital/híbrido (Dorsal Sup.) · Usar STRAPS, codos a ~30° hasta línea del torso.</t>
  </si>
  <si>
    <t>Aducción unil. polea alta (Pull-in)</t>
  </si>
  <si>
    <t>Prioridad 3 (Dorsal Bajo) · De lado a la polea (con tobillera en muñeca o codo semirrígido) para aislar haz inferior sin usar bíceps ni codo · Sem 1-2 a RIR 1-2.</t>
  </si>
  <si>
    <t>(S/D) Sábado/Domingo</t>
  </si>
  <si>
    <t>fijo · Antes del rehab: sentadilla española 5×45 s</t>
  </si>
  <si>
    <t>fijo · Tempo 3-1-3 · empieza por la lesionada</t>
  </si>
  <si>
    <t>Abs wesley banco</t>
  </si>
  <si>
    <t>Movilidad - trapecio inferior</t>
  </si>
  <si>
    <t>Autorregulación: si un músculo pierde reps 2 sesiones seguidas, esa semana NO le subas series. Si se estancan varios a la vez o la rodilla empeora en el test, repite la semana anterior.</t>
  </si>
  <si>
    <t>Semana 9 (14-20/12) · Viaje = descarga  ·  Semana 10 · Vuelta progresiva</t>
  </si>
  <si>
    <t>Hipertrofia: la semana sin entrenar hace de descarga justo después del pico de volumen de la semana 8.</t>
  </si>
  <si>
    <t>Rodilla (libro): nunca dejes el tendón en reposo total. Llévate la goma: sentadilla española 5×45 s cada día (sin anclaje → wall sit a 1 pierna). Sigue haciendo el test en declive por la mañana.</t>
  </si>
  <si>
    <t>Semana 10 (vuelta): hipertrofia con las series de la sem 3-4 y a RIR2. Rehab ×8 al ~80% del peso de la sem 8. Si el test de 24 h aguanta, semana 11 a peso completo y siguiente escalón del libro (×6).</t>
  </si>
  <si>
    <t>Series semanales por grupo muscular (se recalculan solas al cambiar la tabla)</t>
  </si>
  <si>
    <t>Grupo muscular</t>
  </si>
  <si>
    <t>Sem 1 → Sem 8</t>
  </si>
  <si>
    <t>Sem 1</t>
  </si>
  <si>
    <t>Sem 2</t>
  </si>
  <si>
    <t>Sem 3</t>
  </si>
  <si>
    <t>Sem 4</t>
  </si>
  <si>
    <t>Sem 5</t>
  </si>
  <si>
    <t>Sem 6</t>
  </si>
  <si>
    <t>Sem 7</t>
  </si>
  <si>
    <t>Sem 8</t>
  </si>
  <si>
    <t>TOTAL hipertrofia</t>
  </si>
  <si>
    <t>Desglose biomecánico de Espalda por planos (se recalcula solo al cambiar la tabla)</t>
  </si>
  <si>
    <t>Plano / Región de Espalda</t>
  </si>
  <si>
    <t>Ejercicios incluidos</t>
  </si>
  <si>
    <t>Dorsal Bajo (Plano Frontal)</t>
  </si>
  <si>
    <t>Jalón ancho plano frontal (X) + Aducción unil. polea alta (V)</t>
  </si>
  <si>
    <t>Dorsal Superior (Plano Sagital)</t>
  </si>
  <si>
    <t>Jalón neutro bolsillos (X) + Dominada neutra (V) + Remo máq. 30° (V)</t>
  </si>
  <si>
    <t>Espalda Alta (Plano Transversal)</t>
  </si>
  <si>
    <t>Remo gironda abierto (X)</t>
  </si>
  <si>
    <t>Total Transversal (Espalda Alta + Post.)</t>
  </si>
  <si>
    <t>Remo gironda abierto (X) + Posterior polea (X)</t>
  </si>
  <si>
    <t>BLOQUE DE CARDIO (Recuperación Tendinosa &amp; Base Aeróbica Z2 / Z3)</t>
  </si>
  <si>
    <t>Día / Sesión</t>
  </si>
  <si>
    <t>Tipo / Zona</t>
  </si>
  <si>
    <t>Pautas Biomecánicas Rodilla &amp; Intensidad</t>
  </si>
  <si>
    <t>Martes (Post-Push)</t>
  </si>
  <si>
    <t>Bici Z2 (65–75% FC)</t>
  </si>
  <si>
    <t>15 min</t>
  </si>
  <si>
    <t>18 min</t>
  </si>
  <si>
    <t>20 min</t>
  </si>
  <si>
    <t>22 min</t>
  </si>
  <si>
    <t>25 min</t>
  </si>
  <si>
    <t>Cadencia alta 85–90 rpm, sillín alto (rodilla a 20-25° abajo), 100% sentado. Cero impacto.</t>
  </si>
  <si>
    <t>Viernes (Post-Torso)</t>
  </si>
  <si>
    <t>Bici Z2 / Z3 (Prog.)</t>
  </si>
  <si>
    <t>12 min</t>
  </si>
  <si>
    <t>20 min (4x30s Z3)</t>
  </si>
  <si>
    <t>20 min (5x30s Z3)</t>
  </si>
  <si>
    <t>20 min (4x45s Z3)</t>
  </si>
  <si>
    <t>18 min (4x30s Z3)</t>
  </si>
  <si>
    <t>Sem 1-4: Z2 continua. Sem 5-8: Intervalos cortos a 95-100 rpm (Z3 / Umbral) controlando acidosis local.</t>
  </si>
  <si>
    <t>Gemelos prensa</t>
  </si>
  <si>
    <t>Jalón neutro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</si>
</sst>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charset val="1"/>
    </font>
    <font>
      <b/>
      <sz val="13"/>
      <color rgb="FFFFFFFF"/>
      <name val="Arial"/>
      <charset val="1"/>
    </font>
    <font>
      <i/>
      <sz val="9"/>
      <color rgb="FF555555"/>
      <name val="Arial"/>
      <charset val="1"/>
    </font>
    <font>
      <b/>
      <sz val="10"/>
      <color theme="1"/>
      <name val="Arial"/>
      <charset val="1"/>
    </font>
    <font>
      <sz val="10"/>
      <color theme="1"/>
      <name val="Arial"/>
      <charset val="1"/>
    </font>
    <font>
      <b/>
      <sz val="11"/>
      <color rgb="FFFFFFFF"/>
      <name val="Arial"/>
      <charset val="1"/>
    </font>
    <font>
      <sz val="9"/>
      <color rgb="FF333333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9"/>
      <name val="Arial"/>
    </font>
    <font>
      <b/>
      <sz val="9"/>
      <name val="Arial"/>
    </font>
    <font>
      <b/>
      <sz val="10"/>
      <name val="Arial"/>
    </font>
    <font>
      <i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A4D"/>
        <bgColor rgb="FF333333"/>
      </patternFill>
    </fill>
    <fill>
      <patternFill patternType="solid">
        <fgColor rgb="FFE7ECEF"/>
        <bgColor rgb="FFDDF0DD"/>
      </patternFill>
    </fill>
    <fill>
      <patternFill patternType="solid">
        <fgColor rgb="FF2E6E8E"/>
        <bgColor rgb="FF008080"/>
      </patternFill>
    </fill>
    <fill>
      <patternFill patternType="solid">
        <fgColor rgb="FFDDF0DD"/>
        <bgColor rgb="FFE7ECEF"/>
      </patternFill>
    </fill>
  </fills>
  <borders count="4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34">
    <xf numFmtId="0" fontId="0" fillId="0" borderId="0" xfId="0" applyAlignment="1"/>
    <xf numFmtId="0" fontId="0" fillId="0" borderId="0" xfId="0" applyAlignment="1"/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left" vertical="center" wrapText="1"/>
    </xf>
    <xf numFmtId="0" fontId="11" fillId="0" borderId="0" xfId="0" applyFont="1"/>
    <xf numFmtId="0" fontId="12" fillId="0" borderId="0" xfId="0" applyFont="1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/>
    <xf numFmtId="0" fontId="0" fillId="0" borderId="0" xfId="0"/>
    <xf numFmtId="0" fontId="5" fillId="4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2" fillId="0" borderId="0" xfId="0" applyFont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wrapText="1"/>
    </xf>
    <xf numFmtId="0" fontId="3" fillId="3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E8E"/>
      <rgbColor rgb="FFBBBBBB"/>
      <rgbColor rgb="FF808080"/>
      <rgbColor rgb="FF9999FF"/>
      <rgbColor rgb="FF993366"/>
      <rgbColor rgb="FFFFFFCC"/>
      <rgbColor rgb="FFE7EC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F0D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4D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zoomScaleNormal="100" workbookViewId="0"/>
  </sheetViews>
  <sheetFormatPr defaultColWidth="14.390625" defaultRowHeight="15" x14ac:dyDescent="0.2"/>
  <cols>
    <col min="1" max="1" width="25.9609375" style="1" customWidth="1"/>
    <col min="2" max="3" width="16.0078125" style="1" customWidth="1"/>
    <col min="4" max="4" width="20.04296875" style="1" customWidth="1"/>
    <col min="5" max="5" width="34.03125" style="1" customWidth="1"/>
    <col min="6" max="6" width="8.7421875" style="1" customWidth="1"/>
  </cols>
  <sheetData>
    <row r="1" spans="1:26" ht="25.5" customHeight="1" x14ac:dyDescent="0.2">
      <c r="A1" s="20" t="s">
        <v>0</v>
      </c>
      <c r="B1" s="21"/>
      <c r="C1" s="21"/>
      <c r="D1" s="21"/>
      <c r="E1" s="2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">
      <c r="A2" s="33" t="s">
        <v>1</v>
      </c>
      <c r="B2" s="21"/>
      <c r="C2" s="21"/>
      <c r="D2" s="21"/>
      <c r="E2" s="2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"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2">
      <c r="A4" s="31" t="s">
        <v>2</v>
      </c>
      <c r="B4" s="24"/>
      <c r="C4" s="24"/>
      <c r="D4" s="24"/>
      <c r="E4" s="25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8" customHeight="1" x14ac:dyDescent="0.2">
      <c r="A5" s="3" t="s">
        <v>3</v>
      </c>
      <c r="B5" s="32" t="s">
        <v>4</v>
      </c>
      <c r="C5" s="24"/>
      <c r="D5" s="24"/>
      <c r="E5" s="25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48" customHeight="1" x14ac:dyDescent="0.2">
      <c r="A6" s="3" t="s">
        <v>5</v>
      </c>
      <c r="B6" s="32" t="s">
        <v>6</v>
      </c>
      <c r="C6" s="24"/>
      <c r="D6" s="24"/>
      <c r="E6" s="25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8" customHeight="1" x14ac:dyDescent="0.2">
      <c r="A7" s="3" t="s">
        <v>7</v>
      </c>
      <c r="B7" s="32" t="s">
        <v>8</v>
      </c>
      <c r="C7" s="24"/>
      <c r="D7" s="24"/>
      <c r="E7" s="25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48" customHeight="1" x14ac:dyDescent="0.2">
      <c r="A8" s="3" t="s">
        <v>9</v>
      </c>
      <c r="B8" s="32" t="s">
        <v>10</v>
      </c>
      <c r="C8" s="24"/>
      <c r="D8" s="24"/>
      <c r="E8" s="25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48" customHeight="1" x14ac:dyDescent="0.2">
      <c r="A9" s="3" t="s">
        <v>11</v>
      </c>
      <c r="B9" s="32" t="s">
        <v>12</v>
      </c>
      <c r="C9" s="24"/>
      <c r="D9" s="24"/>
      <c r="E9" s="25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2"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2">
      <c r="A11" s="31" t="s">
        <v>13</v>
      </c>
      <c r="B11" s="24"/>
      <c r="C11" s="24"/>
      <c r="D11" s="24"/>
      <c r="E11" s="25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31.5" customHeight="1" x14ac:dyDescent="0.2">
      <c r="A12" s="5" t="s">
        <v>14</v>
      </c>
      <c r="B12" s="5" t="s">
        <v>15</v>
      </c>
      <c r="C12" s="5" t="s">
        <v>16</v>
      </c>
      <c r="D12" s="5" t="s">
        <v>17</v>
      </c>
      <c r="E12" s="5" t="s">
        <v>18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2">
      <c r="A13" s="4" t="s">
        <v>19</v>
      </c>
      <c r="B13" s="6" t="s">
        <v>20</v>
      </c>
      <c r="C13" s="6" t="s">
        <v>21</v>
      </c>
      <c r="D13" s="6" t="s">
        <v>22</v>
      </c>
      <c r="E13" s="4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2">
      <c r="A14" s="4" t="s">
        <v>23</v>
      </c>
      <c r="B14" s="6" t="s">
        <v>24</v>
      </c>
      <c r="C14" s="6" t="s">
        <v>25</v>
      </c>
      <c r="D14" s="6" t="s">
        <v>26</v>
      </c>
      <c r="E14" s="4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2">
      <c r="A15" s="4" t="s">
        <v>27</v>
      </c>
      <c r="B15" s="6" t="s">
        <v>24</v>
      </c>
      <c r="C15" s="6" t="s">
        <v>25</v>
      </c>
      <c r="D15" s="6" t="s">
        <v>26</v>
      </c>
      <c r="E15" s="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2">
      <c r="A16" s="4" t="s">
        <v>28</v>
      </c>
      <c r="B16" s="6" t="s">
        <v>24</v>
      </c>
      <c r="C16" s="6" t="s">
        <v>24</v>
      </c>
      <c r="D16" s="6" t="s">
        <v>29</v>
      </c>
      <c r="E16" s="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2">
      <c r="A17" s="4" t="s">
        <v>30</v>
      </c>
      <c r="B17" s="6" t="s">
        <v>24</v>
      </c>
      <c r="C17" s="6" t="s">
        <v>25</v>
      </c>
      <c r="D17" s="6" t="s">
        <v>29</v>
      </c>
      <c r="E17" s="4" t="s">
        <v>31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2">
      <c r="A18" s="4" t="s">
        <v>32</v>
      </c>
      <c r="B18" s="6" t="s">
        <v>33</v>
      </c>
      <c r="C18" s="6" t="s">
        <v>33</v>
      </c>
      <c r="D18" s="6" t="s">
        <v>29</v>
      </c>
      <c r="E18" s="4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2">
      <c r="A19" s="4" t="s">
        <v>34</v>
      </c>
      <c r="B19" s="6" t="s">
        <v>35</v>
      </c>
      <c r="C19" s="6" t="s">
        <v>36</v>
      </c>
      <c r="D19" s="6" t="s">
        <v>29</v>
      </c>
      <c r="E19" s="4" t="s">
        <v>37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2">
      <c r="A20" s="4" t="s">
        <v>38</v>
      </c>
      <c r="B20" s="6" t="s">
        <v>39</v>
      </c>
      <c r="C20" s="6" t="s">
        <v>29</v>
      </c>
      <c r="D20" s="6" t="s">
        <v>40</v>
      </c>
      <c r="E20" s="4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4" t="s">
        <v>41</v>
      </c>
      <c r="B21" s="6" t="s">
        <v>26</v>
      </c>
      <c r="C21" s="6" t="s">
        <v>42</v>
      </c>
      <c r="D21" s="6" t="s">
        <v>40</v>
      </c>
      <c r="E21" s="4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11" t="s">
        <v>11</v>
      </c>
      <c r="B22" s="7" t="s">
        <v>43</v>
      </c>
      <c r="C22" s="7" t="s">
        <v>43</v>
      </c>
      <c r="D22" s="7" t="s">
        <v>43</v>
      </c>
      <c r="E22" s="11" t="s">
        <v>44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7:26" ht="15.75" customHeight="1" x14ac:dyDescent="0.2"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7:26" ht="15.75" customHeight="1" x14ac:dyDescent="0.2"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7:26" ht="15.75" customHeight="1" x14ac:dyDescent="0.2"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7:26" ht="15.75" customHeight="1" x14ac:dyDescent="0.2"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7:26" ht="15.75" customHeight="1" x14ac:dyDescent="0.2"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7:26" ht="15.75" customHeight="1" x14ac:dyDescent="0.2"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7:26" ht="15.75" customHeight="1" x14ac:dyDescent="0.2"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7:26" ht="15.75" customHeight="1" x14ac:dyDescent="0.2"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7:26" ht="15.75" customHeight="1" x14ac:dyDescent="0.2"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7:26" ht="15.75" customHeight="1" x14ac:dyDescent="0.2"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7:26" ht="15.75" customHeight="1" x14ac:dyDescent="0.2"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7:26" ht="15.75" customHeight="1" x14ac:dyDescent="0.2"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7:26" ht="15.75" customHeight="1" x14ac:dyDescent="0.2"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7:26" ht="15.75" customHeight="1" x14ac:dyDescent="0.2"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7:26" ht="15.75" customHeight="1" x14ac:dyDescent="0.2"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7:26" ht="15.75" customHeight="1" x14ac:dyDescent="0.2"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7:26" ht="15.75" customHeight="1" x14ac:dyDescent="0.2"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7:26" ht="15.75" customHeight="1" x14ac:dyDescent="0.2"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7:26" ht="15.75" customHeight="1" x14ac:dyDescent="0.2"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7:26" ht="15.75" customHeight="1" x14ac:dyDescent="0.2"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7:26" ht="15.75" customHeight="1" x14ac:dyDescent="0.2"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7:26" ht="15.75" customHeight="1" x14ac:dyDescent="0.2"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7:26" ht="15.75" customHeight="1" x14ac:dyDescent="0.2"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7:26" ht="15.75" customHeight="1" x14ac:dyDescent="0.2"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7:26" ht="15.75" customHeight="1" x14ac:dyDescent="0.2"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7:26" ht="15.75" customHeight="1" x14ac:dyDescent="0.2"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7:26" ht="15.75" customHeight="1" x14ac:dyDescent="0.2"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7:26" ht="15.75" customHeight="1" x14ac:dyDescent="0.2"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7:26" ht="15.75" customHeight="1" x14ac:dyDescent="0.2"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7:26" ht="15.75" customHeight="1" x14ac:dyDescent="0.2"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7:26" ht="15.75" customHeight="1" x14ac:dyDescent="0.2"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7:26" ht="15.75" customHeight="1" x14ac:dyDescent="0.2"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7:26" ht="15.75" customHeight="1" x14ac:dyDescent="0.2"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7:26" ht="15.75" customHeight="1" x14ac:dyDescent="0.2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7:26" ht="15.75" customHeight="1" x14ac:dyDescent="0.2"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7:26" ht="15.75" customHeight="1" x14ac:dyDescent="0.2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7:26" ht="15.75" customHeight="1" x14ac:dyDescent="0.2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7:26" ht="15.75" customHeight="1" x14ac:dyDescent="0.2"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7:26" ht="15.75" customHeight="1" x14ac:dyDescent="0.2"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7:26" ht="15.75" customHeight="1" x14ac:dyDescent="0.2"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7:26" ht="15.75" customHeight="1" x14ac:dyDescent="0.2"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7:26" ht="15.75" customHeight="1" x14ac:dyDescent="0.2"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7:26" ht="15.75" customHeight="1" x14ac:dyDescent="0.2"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7:26" ht="15.75" customHeight="1" x14ac:dyDescent="0.2"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7:26" ht="15.75" customHeight="1" x14ac:dyDescent="0.2"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7:26" ht="15.75" customHeight="1" x14ac:dyDescent="0.2"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7:26" ht="15.75" customHeight="1" x14ac:dyDescent="0.2"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7:26" ht="15.75" customHeight="1" x14ac:dyDescent="0.2"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7:26" ht="15.75" customHeight="1" x14ac:dyDescent="0.2"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7:26" ht="15.75" customHeight="1" x14ac:dyDescent="0.2"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7:26" ht="15.75" customHeight="1" x14ac:dyDescent="0.2"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7:26" ht="15.75" customHeight="1" x14ac:dyDescent="0.2"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7:26" ht="15.75" customHeight="1" x14ac:dyDescent="0.2"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7:26" ht="15.75" customHeight="1" x14ac:dyDescent="0.2"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7:26" ht="15.75" customHeight="1" x14ac:dyDescent="0.2"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7:26" ht="15.75" customHeight="1" x14ac:dyDescent="0.2"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7:26" ht="15.75" customHeight="1" x14ac:dyDescent="0.2"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7:26" ht="15.75" customHeight="1" x14ac:dyDescent="0.2"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7:26" ht="15.75" customHeight="1" x14ac:dyDescent="0.2"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7:26" ht="15.75" customHeight="1" x14ac:dyDescent="0.2"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7:26" ht="15.75" customHeight="1" x14ac:dyDescent="0.2"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7:26" ht="15.75" customHeight="1" x14ac:dyDescent="0.2"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7:26" ht="15.75" customHeight="1" x14ac:dyDescent="0.2"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7:26" ht="15.75" customHeight="1" x14ac:dyDescent="0.2"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7:26" ht="15.75" customHeight="1" x14ac:dyDescent="0.2"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7:26" ht="15.75" customHeight="1" x14ac:dyDescent="0.2"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7:26" ht="15.75" customHeight="1" x14ac:dyDescent="0.2"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7:26" ht="15.75" customHeight="1" x14ac:dyDescent="0.2"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7:26" ht="15.75" customHeight="1" x14ac:dyDescent="0.2"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7:26" ht="15.75" customHeight="1" x14ac:dyDescent="0.2"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7:26" ht="15.75" customHeight="1" x14ac:dyDescent="0.2"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7:26" ht="15.75" customHeight="1" x14ac:dyDescent="0.2"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7:26" ht="15.75" customHeight="1" x14ac:dyDescent="0.2"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7:26" ht="15.75" customHeight="1" x14ac:dyDescent="0.2"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7:26" ht="15.75" customHeight="1" x14ac:dyDescent="0.2"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7:26" ht="15.75" customHeight="1" x14ac:dyDescent="0.2"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7:26" ht="15.75" customHeight="1" x14ac:dyDescent="0.2"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7:26" ht="15.75" customHeight="1" x14ac:dyDescent="0.2"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7:26" ht="15.75" customHeight="1" x14ac:dyDescent="0.2"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7:26" ht="15.75" customHeight="1" x14ac:dyDescent="0.2"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7:26" ht="15.75" customHeight="1" x14ac:dyDescent="0.2"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7:26" ht="15.75" customHeight="1" x14ac:dyDescent="0.2"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7:26" ht="15.75" customHeight="1" x14ac:dyDescent="0.2"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7:26" ht="15.75" customHeight="1" x14ac:dyDescent="0.2"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7:26" ht="15.75" customHeight="1" x14ac:dyDescent="0.2"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7:26" ht="15.75" customHeight="1" x14ac:dyDescent="0.2"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7:26" ht="15.75" customHeight="1" x14ac:dyDescent="0.2"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7:26" ht="15.75" customHeight="1" x14ac:dyDescent="0.2"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7:26" ht="15.75" customHeight="1" x14ac:dyDescent="0.2"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7:26" ht="15.75" customHeight="1" x14ac:dyDescent="0.2"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7:26" ht="15.75" customHeight="1" x14ac:dyDescent="0.2"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7:26" ht="15.75" customHeight="1" x14ac:dyDescent="0.2"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7:26" ht="15.75" customHeight="1" x14ac:dyDescent="0.2"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7:26" ht="15.75" customHeight="1" x14ac:dyDescent="0.2"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7:26" ht="15.75" customHeight="1" x14ac:dyDescent="0.2"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7:26" ht="15.75" customHeight="1" x14ac:dyDescent="0.2"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7:26" ht="15.75" customHeight="1" x14ac:dyDescent="0.2"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7:26" ht="15.75" customHeight="1" x14ac:dyDescent="0.2"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7:26" ht="15.75" customHeight="1" x14ac:dyDescent="0.2"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7:26" ht="15.75" customHeight="1" x14ac:dyDescent="0.2"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7:26" ht="15.75" customHeight="1" x14ac:dyDescent="0.2"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7:26" ht="15.75" customHeight="1" x14ac:dyDescent="0.2"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7:26" ht="15.75" customHeight="1" x14ac:dyDescent="0.2"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7:26" ht="15.75" customHeight="1" x14ac:dyDescent="0.2"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7:26" ht="15.75" customHeight="1" x14ac:dyDescent="0.2"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7:26" ht="15.75" customHeight="1" x14ac:dyDescent="0.2"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7:26" ht="15.75" customHeight="1" x14ac:dyDescent="0.2"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7:26" ht="15.75" customHeight="1" x14ac:dyDescent="0.2"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7:26" ht="15.75" customHeight="1" x14ac:dyDescent="0.2"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7:26" ht="15.75" customHeight="1" x14ac:dyDescent="0.2"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7:26" ht="15.75" customHeight="1" x14ac:dyDescent="0.2"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7:26" ht="15.75" customHeight="1" x14ac:dyDescent="0.2"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7:26" ht="15.75" customHeight="1" x14ac:dyDescent="0.2"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7:26" ht="15.75" customHeight="1" x14ac:dyDescent="0.2"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7:26" ht="15.75" customHeight="1" x14ac:dyDescent="0.2"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7:26" ht="15.75" customHeight="1" x14ac:dyDescent="0.2"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7:26" ht="15.75" customHeight="1" x14ac:dyDescent="0.2"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7:26" ht="15.75" customHeight="1" x14ac:dyDescent="0.2"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7:26" ht="15.75" customHeight="1" x14ac:dyDescent="0.2"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7:26" ht="15.75" customHeight="1" x14ac:dyDescent="0.2"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7:26" ht="15.75" customHeight="1" x14ac:dyDescent="0.2"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7:26" ht="15.75" customHeight="1" x14ac:dyDescent="0.2"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7:26" ht="15.75" customHeight="1" x14ac:dyDescent="0.2"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7:26" ht="15.75" customHeight="1" x14ac:dyDescent="0.2"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7:26" ht="15.75" customHeight="1" x14ac:dyDescent="0.2"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7:26" ht="15.75" customHeight="1" x14ac:dyDescent="0.2"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7:26" ht="15.75" customHeight="1" x14ac:dyDescent="0.2"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7:26" ht="15.75" customHeight="1" x14ac:dyDescent="0.2"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7:26" ht="15.75" customHeight="1" x14ac:dyDescent="0.2"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7:26" ht="15.75" customHeight="1" x14ac:dyDescent="0.2"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7:26" ht="15.75" customHeight="1" x14ac:dyDescent="0.2"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7:26" ht="15.75" customHeight="1" x14ac:dyDescent="0.2"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7:26" ht="15.75" customHeight="1" x14ac:dyDescent="0.2"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7:26" ht="15.75" customHeight="1" x14ac:dyDescent="0.2"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7:26" ht="15.75" customHeight="1" x14ac:dyDescent="0.2"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7:26" ht="15.75" customHeight="1" x14ac:dyDescent="0.2"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7:26" ht="15.75" customHeight="1" x14ac:dyDescent="0.2"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7:26" ht="15.75" customHeight="1" x14ac:dyDescent="0.2"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7:26" ht="15.75" customHeight="1" x14ac:dyDescent="0.2"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7:26" ht="15.75" customHeight="1" x14ac:dyDescent="0.2"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7:26" ht="15.75" customHeight="1" x14ac:dyDescent="0.2"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7:26" ht="15.75" customHeight="1" x14ac:dyDescent="0.2"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7:26" ht="15.75" customHeight="1" x14ac:dyDescent="0.2"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7:26" ht="15.75" customHeight="1" x14ac:dyDescent="0.2"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7:26" ht="15.75" customHeight="1" x14ac:dyDescent="0.2"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7:26" ht="15.75" customHeight="1" x14ac:dyDescent="0.2"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7:26" ht="15.75" customHeight="1" x14ac:dyDescent="0.2"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7:26" ht="15.75" customHeight="1" x14ac:dyDescent="0.2"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7:26" ht="15.75" customHeight="1" x14ac:dyDescent="0.2"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7:26" ht="15.75" customHeight="1" x14ac:dyDescent="0.2"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7:26" ht="15.75" customHeight="1" x14ac:dyDescent="0.2"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7:26" ht="15.75" customHeight="1" x14ac:dyDescent="0.2"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7:26" ht="15.75" customHeight="1" x14ac:dyDescent="0.2"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7:26" ht="15.75" customHeight="1" x14ac:dyDescent="0.2"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7:26" ht="15.75" customHeight="1" x14ac:dyDescent="0.2"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7:26" ht="15.75" customHeight="1" x14ac:dyDescent="0.2"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7:26" ht="15.75" customHeight="1" x14ac:dyDescent="0.2"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7:26" ht="15.75" customHeight="1" x14ac:dyDescent="0.2"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7:26" ht="15.75" customHeight="1" x14ac:dyDescent="0.2"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7:26" ht="15.75" customHeight="1" x14ac:dyDescent="0.2"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7:26" ht="15.75" customHeight="1" x14ac:dyDescent="0.2"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7:26" ht="15.75" customHeight="1" x14ac:dyDescent="0.2"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7:26" ht="15.75" customHeight="1" x14ac:dyDescent="0.2"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7:26" ht="15.75" customHeight="1" x14ac:dyDescent="0.2"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7:26" ht="15.75" customHeight="1" x14ac:dyDescent="0.2"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7:26" ht="15.75" customHeight="1" x14ac:dyDescent="0.2"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7:26" ht="15.75" customHeight="1" x14ac:dyDescent="0.2"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7:26" ht="15.75" customHeight="1" x14ac:dyDescent="0.2"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7:26" ht="15.75" customHeight="1" x14ac:dyDescent="0.2"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7:26" ht="15.75" customHeight="1" x14ac:dyDescent="0.2"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7:26" ht="15.75" customHeight="1" x14ac:dyDescent="0.2"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7:26" ht="15.75" customHeight="1" x14ac:dyDescent="0.2"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7:26" ht="15.75" customHeight="1" x14ac:dyDescent="0.2"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7:26" ht="15.75" customHeight="1" x14ac:dyDescent="0.2"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7:26" ht="15.75" customHeight="1" x14ac:dyDescent="0.2"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7:26" ht="15.75" customHeight="1" x14ac:dyDescent="0.2"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7:26" ht="15.75" customHeight="1" x14ac:dyDescent="0.2"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7:26" ht="15.75" customHeight="1" x14ac:dyDescent="0.2"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7:26" ht="15.75" customHeight="1" x14ac:dyDescent="0.2"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7:26" ht="15.75" customHeight="1" x14ac:dyDescent="0.2"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7:26" ht="15.75" customHeight="1" x14ac:dyDescent="0.2"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7:26" ht="15.75" customHeight="1" x14ac:dyDescent="0.2"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7:26" ht="15.75" customHeight="1" x14ac:dyDescent="0.2"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7:26" ht="15.75" customHeight="1" x14ac:dyDescent="0.2"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7:26" ht="15.75" customHeight="1" x14ac:dyDescent="0.2"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7:26" ht="15.75" customHeight="1" x14ac:dyDescent="0.2"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7:26" ht="15.75" customHeight="1" x14ac:dyDescent="0.2"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7:26" ht="15.75" customHeight="1" x14ac:dyDescent="0.2"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7:26" ht="15.75" customHeight="1" x14ac:dyDescent="0.2"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7:26" ht="15.75" customHeight="1" x14ac:dyDescent="0.2"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7:26" ht="15.75" customHeight="1" x14ac:dyDescent="0.2"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7:26" ht="15.75" customHeight="1" x14ac:dyDescent="0.2"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7:26" ht="15.75" customHeight="1" x14ac:dyDescent="0.2"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7:26" ht="15.75" customHeight="1" x14ac:dyDescent="0.2"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7:26" ht="15.75" customHeight="1" x14ac:dyDescent="0.2"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7:26" ht="15.75" customHeight="1" x14ac:dyDescent="0.2"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7:26" ht="15.75" customHeight="1" x14ac:dyDescent="0.2"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7:26" ht="15.75" customHeight="1" x14ac:dyDescent="0.2"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7:26" ht="15.75" customHeight="1" x14ac:dyDescent="0.2"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7:26" ht="15.75" customHeight="1" x14ac:dyDescent="0.2"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7:26" ht="15.75" customHeight="1" x14ac:dyDescent="0.2"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7:26" ht="15.75" customHeight="1" x14ac:dyDescent="0.2"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7:26" ht="15.75" customHeight="1" x14ac:dyDescent="0.2"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7:26" ht="15.75" customHeight="1" x14ac:dyDescent="0.2"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7:26" ht="15.75" customHeight="1" x14ac:dyDescent="0.2"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7:26" ht="15.75" customHeight="1" x14ac:dyDescent="0.2"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7:26" ht="15.75" customHeight="1" x14ac:dyDescent="0.2"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7:26" ht="15.75" customHeight="1" x14ac:dyDescent="0.2"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7:26" ht="15.75" customHeight="1" x14ac:dyDescent="0.2"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7:26" ht="15.75" customHeight="1" x14ac:dyDescent="0.2"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7:26" ht="15.75" customHeight="1" x14ac:dyDescent="0.2"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7:26" ht="15.75" customHeight="1" x14ac:dyDescent="0.2"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7:26" ht="15.75" customHeight="1" x14ac:dyDescent="0.2"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7:26" ht="15.75" customHeight="1" x14ac:dyDescent="0.2"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7:26" ht="15.75" customHeight="1" x14ac:dyDescent="0.2"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7:26" ht="15.75" customHeight="1" x14ac:dyDescent="0.2"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7:26" ht="15.75" customHeight="1" x14ac:dyDescent="0.2"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7:26" ht="15.75" customHeight="1" x14ac:dyDescent="0.2"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7:26" ht="15.75" customHeight="1" x14ac:dyDescent="0.2"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7:26" ht="15.75" customHeight="1" x14ac:dyDescent="0.2"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7:26" ht="15.75" customHeight="1" x14ac:dyDescent="0.2"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7:26" ht="15.75" customHeight="1" x14ac:dyDescent="0.2"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7:26" ht="15.75" customHeight="1" x14ac:dyDescent="0.2"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7:26" ht="15.75" customHeight="1" x14ac:dyDescent="0.2"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7:26" ht="15.75" customHeight="1" x14ac:dyDescent="0.2"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7:26" ht="15.75" customHeight="1" x14ac:dyDescent="0.2"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7:26" ht="15.75" customHeight="1" x14ac:dyDescent="0.2"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7:26" ht="15.75" customHeight="1" x14ac:dyDescent="0.2"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7:26" ht="15.75" customHeight="1" x14ac:dyDescent="0.2"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7:26" ht="15.75" customHeight="1" x14ac:dyDescent="0.2"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7:26" ht="15.75" customHeight="1" x14ac:dyDescent="0.2"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7:26" ht="15.75" customHeight="1" x14ac:dyDescent="0.2"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7:26" ht="15.75" customHeight="1" x14ac:dyDescent="0.2"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7:26" ht="15.75" customHeight="1" x14ac:dyDescent="0.2"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7:26" ht="15.75" customHeight="1" x14ac:dyDescent="0.2"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7:26" ht="15.75" customHeight="1" x14ac:dyDescent="0.2"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7:26" ht="15.75" customHeight="1" x14ac:dyDescent="0.2"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7:26" ht="15.75" customHeight="1" x14ac:dyDescent="0.2"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7:26" ht="15.75" customHeight="1" x14ac:dyDescent="0.2"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7:26" ht="15.75" customHeight="1" x14ac:dyDescent="0.2"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7:26" ht="15.75" customHeight="1" x14ac:dyDescent="0.2"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7:26" ht="15.75" customHeight="1" x14ac:dyDescent="0.2"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7:26" ht="15.75" customHeight="1" x14ac:dyDescent="0.2"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7:26" ht="15.75" customHeight="1" x14ac:dyDescent="0.2"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7:26" ht="15.75" customHeight="1" x14ac:dyDescent="0.2"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7:26" ht="15.75" customHeight="1" x14ac:dyDescent="0.2"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7:26" ht="15.75" customHeight="1" x14ac:dyDescent="0.2"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7:26" ht="15.75" customHeight="1" x14ac:dyDescent="0.2"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7:26" ht="15.75" customHeight="1" x14ac:dyDescent="0.2"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7:26" ht="15.75" customHeight="1" x14ac:dyDescent="0.2"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7:26" ht="15.75" customHeight="1" x14ac:dyDescent="0.2"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7:26" ht="15.75" customHeight="1" x14ac:dyDescent="0.2"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7:26" ht="15.75" customHeight="1" x14ac:dyDescent="0.2"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7:26" ht="15.75" customHeight="1" x14ac:dyDescent="0.2"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7:26" ht="15.75" customHeight="1" x14ac:dyDescent="0.2"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7:26" ht="15.75" customHeight="1" x14ac:dyDescent="0.2"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7:26" ht="15.75" customHeight="1" x14ac:dyDescent="0.2"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7:26" ht="15.75" customHeight="1" x14ac:dyDescent="0.2"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7:26" ht="15.75" customHeight="1" x14ac:dyDescent="0.2"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7:26" ht="15.75" customHeight="1" x14ac:dyDescent="0.2"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7:26" ht="15.75" customHeight="1" x14ac:dyDescent="0.2"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7:26" ht="15.75" customHeight="1" x14ac:dyDescent="0.2"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7:26" ht="15.75" customHeight="1" x14ac:dyDescent="0.2"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7:26" ht="15.75" customHeight="1" x14ac:dyDescent="0.2"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7:26" ht="15.75" customHeight="1" x14ac:dyDescent="0.2"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7:26" ht="15.75" customHeight="1" x14ac:dyDescent="0.2"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7:26" ht="15.75" customHeight="1" x14ac:dyDescent="0.2"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7:26" ht="15.75" customHeight="1" x14ac:dyDescent="0.2"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7:26" ht="15.75" customHeight="1" x14ac:dyDescent="0.2"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7:26" ht="15.75" customHeight="1" x14ac:dyDescent="0.2"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7:26" ht="15.75" customHeight="1" x14ac:dyDescent="0.2"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7:26" ht="15.75" customHeight="1" x14ac:dyDescent="0.2"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7:26" ht="15.75" customHeight="1" x14ac:dyDescent="0.2"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7:26" ht="15.75" customHeight="1" x14ac:dyDescent="0.2"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7:26" ht="15.75" customHeight="1" x14ac:dyDescent="0.2"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7:26" ht="15.75" customHeight="1" x14ac:dyDescent="0.2"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7:26" ht="15.75" customHeight="1" x14ac:dyDescent="0.2"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7:26" ht="15.75" customHeight="1" x14ac:dyDescent="0.2"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7:26" ht="15.75" customHeight="1" x14ac:dyDescent="0.2"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7:26" ht="15.75" customHeight="1" x14ac:dyDescent="0.2"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7:26" ht="15.75" customHeight="1" x14ac:dyDescent="0.2"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7:26" ht="15.75" customHeight="1" x14ac:dyDescent="0.2"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7:26" ht="15.75" customHeight="1" x14ac:dyDescent="0.2"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7:26" ht="15.75" customHeight="1" x14ac:dyDescent="0.2"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7:26" ht="15.75" customHeight="1" x14ac:dyDescent="0.2"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7:26" ht="15.75" customHeight="1" x14ac:dyDescent="0.2"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7:26" ht="15.75" customHeight="1" x14ac:dyDescent="0.2"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7:26" ht="15.75" customHeight="1" x14ac:dyDescent="0.2"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7:26" ht="15.75" customHeight="1" x14ac:dyDescent="0.2"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7:26" ht="15.75" customHeight="1" x14ac:dyDescent="0.2"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7:26" ht="15.75" customHeight="1" x14ac:dyDescent="0.2"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7:26" ht="15.75" customHeight="1" x14ac:dyDescent="0.2"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7:26" ht="15.75" customHeight="1" x14ac:dyDescent="0.2"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7:26" ht="15.75" customHeight="1" x14ac:dyDescent="0.2"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7:26" ht="15.75" customHeight="1" x14ac:dyDescent="0.2"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7:26" ht="15.75" customHeight="1" x14ac:dyDescent="0.2"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7:26" ht="15.75" customHeight="1" x14ac:dyDescent="0.2"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7:26" ht="15.75" customHeight="1" x14ac:dyDescent="0.2"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7:26" ht="15.75" customHeight="1" x14ac:dyDescent="0.2"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7:26" ht="15.75" customHeight="1" x14ac:dyDescent="0.2"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7:26" ht="15.75" customHeight="1" x14ac:dyDescent="0.2"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7:26" ht="15.75" customHeight="1" x14ac:dyDescent="0.2"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7:26" ht="15.75" customHeight="1" x14ac:dyDescent="0.2"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7:26" ht="15.75" customHeight="1" x14ac:dyDescent="0.2"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7:26" ht="15.75" customHeight="1" x14ac:dyDescent="0.2"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7:26" ht="15.75" customHeight="1" x14ac:dyDescent="0.2"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7:26" ht="15.75" customHeight="1" x14ac:dyDescent="0.2"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7:26" ht="15.75" customHeight="1" x14ac:dyDescent="0.2"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7:26" ht="15.75" customHeight="1" x14ac:dyDescent="0.2"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7:26" ht="15.75" customHeight="1" x14ac:dyDescent="0.2"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7:26" ht="15.75" customHeight="1" x14ac:dyDescent="0.2"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7:26" ht="15.75" customHeight="1" x14ac:dyDescent="0.2"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7:26" ht="15.75" customHeight="1" x14ac:dyDescent="0.2"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7:26" ht="15.75" customHeight="1" x14ac:dyDescent="0.2"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7:26" ht="15.75" customHeight="1" x14ac:dyDescent="0.2"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7:26" ht="15.75" customHeight="1" x14ac:dyDescent="0.2"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7:26" ht="15.75" customHeight="1" x14ac:dyDescent="0.2"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7:26" ht="15.75" customHeight="1" x14ac:dyDescent="0.2"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7:26" ht="15.75" customHeight="1" x14ac:dyDescent="0.2"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7:26" ht="15.75" customHeight="1" x14ac:dyDescent="0.2"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7:26" ht="15.75" customHeight="1" x14ac:dyDescent="0.2"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7:26" ht="15.75" customHeight="1" x14ac:dyDescent="0.2"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7:26" ht="15.75" customHeight="1" x14ac:dyDescent="0.2"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7:26" ht="15.75" customHeight="1" x14ac:dyDescent="0.2"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7:26" ht="15.75" customHeight="1" x14ac:dyDescent="0.2"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7:26" ht="15.75" customHeight="1" x14ac:dyDescent="0.2"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7:26" ht="15.75" customHeight="1" x14ac:dyDescent="0.2"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7:26" ht="15.75" customHeight="1" x14ac:dyDescent="0.2"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7:26" ht="15.75" customHeight="1" x14ac:dyDescent="0.2"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7:26" ht="15.75" customHeight="1" x14ac:dyDescent="0.2"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7:26" ht="15.75" customHeight="1" x14ac:dyDescent="0.2"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7:26" ht="15.75" customHeight="1" x14ac:dyDescent="0.2"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7:26" ht="15.75" customHeight="1" x14ac:dyDescent="0.2"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7:26" ht="15.75" customHeight="1" x14ac:dyDescent="0.2"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7:26" ht="15.75" customHeight="1" x14ac:dyDescent="0.2"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7:26" ht="15.75" customHeight="1" x14ac:dyDescent="0.2"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7:26" ht="15.75" customHeight="1" x14ac:dyDescent="0.2"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7:26" ht="15.75" customHeight="1" x14ac:dyDescent="0.2"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7:26" ht="15.75" customHeight="1" x14ac:dyDescent="0.2"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7:26" ht="15.75" customHeight="1" x14ac:dyDescent="0.2"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7:26" ht="15.75" customHeight="1" x14ac:dyDescent="0.2"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7:26" ht="15.75" customHeight="1" x14ac:dyDescent="0.2"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7:26" ht="15.75" customHeight="1" x14ac:dyDescent="0.2"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7:26" ht="15.75" customHeight="1" x14ac:dyDescent="0.2"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7:26" ht="15.75" customHeight="1" x14ac:dyDescent="0.2"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7:26" ht="15.75" customHeight="1" x14ac:dyDescent="0.2"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7:26" ht="15.75" customHeight="1" x14ac:dyDescent="0.2"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7:26" ht="15.75" customHeight="1" x14ac:dyDescent="0.2"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7:26" ht="15.75" customHeight="1" x14ac:dyDescent="0.2"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7:26" ht="15.75" customHeight="1" x14ac:dyDescent="0.2"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7:26" ht="15.75" customHeight="1" x14ac:dyDescent="0.2"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7:26" ht="15.75" customHeight="1" x14ac:dyDescent="0.2"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7:26" ht="15.75" customHeight="1" x14ac:dyDescent="0.2"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7:26" ht="15.75" customHeight="1" x14ac:dyDescent="0.2"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7:26" ht="15.75" customHeight="1" x14ac:dyDescent="0.2"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7:26" ht="15.75" customHeight="1" x14ac:dyDescent="0.2"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7:26" ht="15.75" customHeight="1" x14ac:dyDescent="0.2"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7:26" ht="15.75" customHeight="1" x14ac:dyDescent="0.2"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7:26" ht="15.75" customHeight="1" x14ac:dyDescent="0.2"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7:26" ht="15.75" customHeight="1" x14ac:dyDescent="0.2"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7:26" ht="15.75" customHeight="1" x14ac:dyDescent="0.2"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7:26" ht="15.75" customHeight="1" x14ac:dyDescent="0.2"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7:26" ht="15.75" customHeight="1" x14ac:dyDescent="0.2"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7:26" ht="15.75" customHeight="1" x14ac:dyDescent="0.2"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7:26" ht="15.75" customHeight="1" x14ac:dyDescent="0.2"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7:26" ht="15.75" customHeight="1" x14ac:dyDescent="0.2"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7:26" ht="15.75" customHeight="1" x14ac:dyDescent="0.2"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7:26" ht="15.75" customHeight="1" x14ac:dyDescent="0.2"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7:26" ht="15.75" customHeight="1" x14ac:dyDescent="0.2"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7:26" ht="15.75" customHeight="1" x14ac:dyDescent="0.2"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7:26" ht="15.75" customHeight="1" x14ac:dyDescent="0.2"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7:26" ht="15.75" customHeight="1" x14ac:dyDescent="0.2"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7:26" ht="15.75" customHeight="1" x14ac:dyDescent="0.2"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7:26" ht="15.75" customHeight="1" x14ac:dyDescent="0.2"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7:26" ht="15.75" customHeight="1" x14ac:dyDescent="0.2"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7:26" ht="15.75" customHeight="1" x14ac:dyDescent="0.2"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7:26" ht="15.75" customHeight="1" x14ac:dyDescent="0.2"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7:26" ht="15.75" customHeight="1" x14ac:dyDescent="0.2"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7:26" ht="15.75" customHeight="1" x14ac:dyDescent="0.2"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7:26" ht="15.75" customHeight="1" x14ac:dyDescent="0.2"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7:26" ht="15.75" customHeight="1" x14ac:dyDescent="0.2"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7:26" ht="15.75" customHeight="1" x14ac:dyDescent="0.2"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7:26" ht="15.75" customHeight="1" x14ac:dyDescent="0.2"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7:26" ht="15.75" customHeight="1" x14ac:dyDescent="0.2"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7:26" ht="15.75" customHeight="1" x14ac:dyDescent="0.2"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7:26" ht="15.75" customHeight="1" x14ac:dyDescent="0.2"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7:26" ht="15.75" customHeight="1" x14ac:dyDescent="0.2"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7:26" ht="15.75" customHeight="1" x14ac:dyDescent="0.2"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7:26" ht="15.75" customHeight="1" x14ac:dyDescent="0.2"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7:26" ht="15.75" customHeight="1" x14ac:dyDescent="0.2"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7:26" ht="15.75" customHeight="1" x14ac:dyDescent="0.2"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7:26" ht="15.75" customHeight="1" x14ac:dyDescent="0.2"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7:26" ht="15.75" customHeight="1" x14ac:dyDescent="0.2"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7:26" ht="15.75" customHeight="1" x14ac:dyDescent="0.2"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7:26" ht="15.75" customHeight="1" x14ac:dyDescent="0.2"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7:26" ht="15.75" customHeight="1" x14ac:dyDescent="0.2"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7:26" ht="15.75" customHeight="1" x14ac:dyDescent="0.2"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7:26" ht="15.75" customHeight="1" x14ac:dyDescent="0.2"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7:26" ht="15.75" customHeight="1" x14ac:dyDescent="0.2"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7:26" ht="15.75" customHeight="1" x14ac:dyDescent="0.2"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7:26" ht="15.75" customHeight="1" x14ac:dyDescent="0.2"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7:26" ht="15.75" customHeight="1" x14ac:dyDescent="0.2"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7:26" ht="15.75" customHeight="1" x14ac:dyDescent="0.2"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7:26" ht="15.75" customHeight="1" x14ac:dyDescent="0.2"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7:26" ht="15.75" customHeight="1" x14ac:dyDescent="0.2"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7:26" ht="15.75" customHeight="1" x14ac:dyDescent="0.2"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7:26" ht="15.75" customHeight="1" x14ac:dyDescent="0.2"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7:26" ht="15.75" customHeight="1" x14ac:dyDescent="0.2"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7:26" ht="15.75" customHeight="1" x14ac:dyDescent="0.2"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7:26" ht="15.75" customHeight="1" x14ac:dyDescent="0.2"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7:26" ht="15.75" customHeight="1" x14ac:dyDescent="0.2"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7:26" ht="15.75" customHeight="1" x14ac:dyDescent="0.2"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7:26" ht="15.75" customHeight="1" x14ac:dyDescent="0.2"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7:26" ht="15.75" customHeight="1" x14ac:dyDescent="0.2"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7:26" ht="15.75" customHeight="1" x14ac:dyDescent="0.2"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7:26" ht="15.75" customHeight="1" x14ac:dyDescent="0.2"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7:26" ht="15.75" customHeight="1" x14ac:dyDescent="0.2"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7:26" ht="15.75" customHeight="1" x14ac:dyDescent="0.2"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7:26" ht="15.75" customHeight="1" x14ac:dyDescent="0.2"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7:26" ht="15.75" customHeight="1" x14ac:dyDescent="0.2"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7:26" ht="15.75" customHeight="1" x14ac:dyDescent="0.2"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7:26" ht="15.75" customHeight="1" x14ac:dyDescent="0.2"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7:26" ht="15.75" customHeight="1" x14ac:dyDescent="0.2"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7:26" ht="15.75" customHeight="1" x14ac:dyDescent="0.2"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7:26" ht="15.75" customHeight="1" x14ac:dyDescent="0.2"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7:26" ht="15.75" customHeight="1" x14ac:dyDescent="0.2"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7:26" ht="15.75" customHeight="1" x14ac:dyDescent="0.2"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7:26" ht="15.75" customHeight="1" x14ac:dyDescent="0.2"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7:26" ht="15.75" customHeight="1" x14ac:dyDescent="0.2"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7:26" ht="15.75" customHeight="1" x14ac:dyDescent="0.2"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7:26" ht="15.75" customHeight="1" x14ac:dyDescent="0.2"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7:26" ht="15.75" customHeight="1" x14ac:dyDescent="0.2"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7:26" ht="15.75" customHeight="1" x14ac:dyDescent="0.2"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7:26" ht="15.75" customHeight="1" x14ac:dyDescent="0.2"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7:26" ht="15.75" customHeight="1" x14ac:dyDescent="0.2"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7:26" ht="15.75" customHeight="1" x14ac:dyDescent="0.2"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7:26" ht="15.75" customHeight="1" x14ac:dyDescent="0.2"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7:26" ht="15.75" customHeight="1" x14ac:dyDescent="0.2"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7:26" ht="15.75" customHeight="1" x14ac:dyDescent="0.2"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7:26" ht="15.75" customHeight="1" x14ac:dyDescent="0.2"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7:26" ht="15.75" customHeight="1" x14ac:dyDescent="0.2"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7:26" ht="15.75" customHeight="1" x14ac:dyDescent="0.2"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7:26" ht="15.75" customHeight="1" x14ac:dyDescent="0.2"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7:26" ht="15.75" customHeight="1" x14ac:dyDescent="0.2"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7:26" ht="15.75" customHeight="1" x14ac:dyDescent="0.2"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7:26" ht="15.75" customHeight="1" x14ac:dyDescent="0.2"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7:26" ht="15.75" customHeight="1" x14ac:dyDescent="0.2"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7:26" ht="15.75" customHeight="1" x14ac:dyDescent="0.2"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7:26" ht="15.75" customHeight="1" x14ac:dyDescent="0.2"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7:26" ht="15.75" customHeight="1" x14ac:dyDescent="0.2"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7:26" ht="15.75" customHeight="1" x14ac:dyDescent="0.2"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7:26" ht="15.75" customHeight="1" x14ac:dyDescent="0.2"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7:26" ht="15.75" customHeight="1" x14ac:dyDescent="0.2"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7:26" ht="15.75" customHeight="1" x14ac:dyDescent="0.2"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7:26" ht="15.75" customHeight="1" x14ac:dyDescent="0.2"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7:26" ht="15.75" customHeight="1" x14ac:dyDescent="0.2"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7:26" ht="15.75" customHeight="1" x14ac:dyDescent="0.2"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7:26" ht="15.75" customHeight="1" x14ac:dyDescent="0.2"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7:26" ht="15.75" customHeight="1" x14ac:dyDescent="0.2"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7:26" ht="15.75" customHeight="1" x14ac:dyDescent="0.2"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7:26" ht="15.75" customHeight="1" x14ac:dyDescent="0.2"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7:26" ht="15.75" customHeight="1" x14ac:dyDescent="0.2"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7:26" ht="15.75" customHeight="1" x14ac:dyDescent="0.2"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7:26" ht="15.75" customHeight="1" x14ac:dyDescent="0.2"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7:26" ht="15.75" customHeight="1" x14ac:dyDescent="0.2"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7:26" ht="15.75" customHeight="1" x14ac:dyDescent="0.2"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7:26" ht="15.75" customHeight="1" x14ac:dyDescent="0.2"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7:26" ht="15.75" customHeight="1" x14ac:dyDescent="0.2"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7:26" ht="15.75" customHeight="1" x14ac:dyDescent="0.2"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7:26" ht="15.75" customHeight="1" x14ac:dyDescent="0.2"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7:26" ht="15.75" customHeight="1" x14ac:dyDescent="0.2"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7:26" ht="15.75" customHeight="1" x14ac:dyDescent="0.2"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7:26" ht="15.75" customHeight="1" x14ac:dyDescent="0.2"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7:26" ht="15.75" customHeight="1" x14ac:dyDescent="0.2"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7:26" ht="15.75" customHeight="1" x14ac:dyDescent="0.2"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7:26" ht="15.75" customHeight="1" x14ac:dyDescent="0.2"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7:26" ht="15.75" customHeight="1" x14ac:dyDescent="0.2"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7:26" ht="15.75" customHeight="1" x14ac:dyDescent="0.2"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7:26" ht="15.75" customHeight="1" x14ac:dyDescent="0.2"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7:26" ht="15.75" customHeight="1" x14ac:dyDescent="0.2"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7:26" ht="15.75" customHeight="1" x14ac:dyDescent="0.2"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7:26" ht="15.75" customHeight="1" x14ac:dyDescent="0.2"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7:26" ht="15.75" customHeight="1" x14ac:dyDescent="0.2"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7:26" ht="15.75" customHeight="1" x14ac:dyDescent="0.2"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7:26" ht="15.75" customHeight="1" x14ac:dyDescent="0.2"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7:26" ht="15.75" customHeight="1" x14ac:dyDescent="0.2"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7:26" ht="15.75" customHeight="1" x14ac:dyDescent="0.2"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7:26" ht="15.75" customHeight="1" x14ac:dyDescent="0.2"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7:26" ht="15.75" customHeight="1" x14ac:dyDescent="0.2"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7:26" ht="15.75" customHeight="1" x14ac:dyDescent="0.2"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7:26" ht="15.75" customHeight="1" x14ac:dyDescent="0.2"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7:26" ht="15.75" customHeight="1" x14ac:dyDescent="0.2"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7:26" ht="15.75" customHeight="1" x14ac:dyDescent="0.2"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7:26" ht="15.75" customHeight="1" x14ac:dyDescent="0.2"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7:26" ht="15.75" customHeight="1" x14ac:dyDescent="0.2"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7:26" ht="15.75" customHeight="1" x14ac:dyDescent="0.2"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7:26" ht="15.75" customHeight="1" x14ac:dyDescent="0.2"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7:26" ht="15.75" customHeight="1" x14ac:dyDescent="0.2"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7:26" ht="15.75" customHeight="1" x14ac:dyDescent="0.2"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7:26" ht="15.75" customHeight="1" x14ac:dyDescent="0.2"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7:26" ht="15.75" customHeight="1" x14ac:dyDescent="0.2"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7:26" ht="15.75" customHeight="1" x14ac:dyDescent="0.2"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7:26" ht="15.75" customHeight="1" x14ac:dyDescent="0.2"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7:26" ht="15.75" customHeight="1" x14ac:dyDescent="0.2"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7:26" ht="15.75" customHeight="1" x14ac:dyDescent="0.2"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7:26" ht="15.75" customHeight="1" x14ac:dyDescent="0.2"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7:26" ht="15.75" customHeight="1" x14ac:dyDescent="0.2"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7:26" ht="15.75" customHeight="1" x14ac:dyDescent="0.2"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7:26" ht="15.75" customHeight="1" x14ac:dyDescent="0.2"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7:26" ht="15.75" customHeight="1" x14ac:dyDescent="0.2"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7:26" ht="15.75" customHeight="1" x14ac:dyDescent="0.2"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7:26" ht="15.75" customHeight="1" x14ac:dyDescent="0.2"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7:26" ht="15.75" customHeight="1" x14ac:dyDescent="0.2"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7:26" ht="15.75" customHeight="1" x14ac:dyDescent="0.2"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7:26" ht="15.75" customHeight="1" x14ac:dyDescent="0.2"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7:26" ht="15.75" customHeight="1" x14ac:dyDescent="0.2"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7:26" ht="15.75" customHeight="1" x14ac:dyDescent="0.2"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7:26" ht="15.75" customHeight="1" x14ac:dyDescent="0.2"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7:26" ht="15.75" customHeight="1" x14ac:dyDescent="0.2"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7:26" ht="15.75" customHeight="1" x14ac:dyDescent="0.2"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7:26" ht="15.75" customHeight="1" x14ac:dyDescent="0.2"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7:26" ht="15.75" customHeight="1" x14ac:dyDescent="0.2"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7:26" ht="15.75" customHeight="1" x14ac:dyDescent="0.2"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7:26" ht="15.75" customHeight="1" x14ac:dyDescent="0.2"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7:26" ht="15.75" customHeight="1" x14ac:dyDescent="0.2"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7:26" ht="15.75" customHeight="1" x14ac:dyDescent="0.2"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7:26" ht="15.75" customHeight="1" x14ac:dyDescent="0.2"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7:26" ht="15.75" customHeight="1" x14ac:dyDescent="0.2"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7:26" ht="15.75" customHeight="1" x14ac:dyDescent="0.2"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7:26" ht="15.75" customHeight="1" x14ac:dyDescent="0.2"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7:26" ht="15.75" customHeight="1" x14ac:dyDescent="0.2"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7:26" ht="15.75" customHeight="1" x14ac:dyDescent="0.2"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7:26" ht="15.75" customHeight="1" x14ac:dyDescent="0.2"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7:26" ht="15.75" customHeight="1" x14ac:dyDescent="0.2"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7:26" ht="15.75" customHeight="1" x14ac:dyDescent="0.2"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7:26" ht="15.75" customHeight="1" x14ac:dyDescent="0.2"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7:26" ht="15.75" customHeight="1" x14ac:dyDescent="0.2"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7:26" ht="15.75" customHeight="1" x14ac:dyDescent="0.2"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7:26" ht="15.75" customHeight="1" x14ac:dyDescent="0.2"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7:26" ht="15.75" customHeight="1" x14ac:dyDescent="0.2"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7:26" ht="15.75" customHeight="1" x14ac:dyDescent="0.2"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7:26" ht="15.75" customHeight="1" x14ac:dyDescent="0.2"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7:26" ht="15.75" customHeight="1" x14ac:dyDescent="0.2"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7:26" ht="15.75" customHeight="1" x14ac:dyDescent="0.2"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7:26" ht="15.75" customHeight="1" x14ac:dyDescent="0.2"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7:26" ht="15.75" customHeight="1" x14ac:dyDescent="0.2"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7:26" ht="15.75" customHeight="1" x14ac:dyDescent="0.2"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7:26" ht="15.75" customHeight="1" x14ac:dyDescent="0.2"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7:26" ht="15.75" customHeight="1" x14ac:dyDescent="0.2"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7:26" ht="15.75" customHeight="1" x14ac:dyDescent="0.2"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7:26" ht="15.75" customHeight="1" x14ac:dyDescent="0.2"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7:26" ht="15.75" customHeight="1" x14ac:dyDescent="0.2"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7:26" ht="15.75" customHeight="1" x14ac:dyDescent="0.2"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7:26" ht="15.75" customHeight="1" x14ac:dyDescent="0.2"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7:26" ht="15.75" customHeight="1" x14ac:dyDescent="0.2"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7:26" ht="15.75" customHeight="1" x14ac:dyDescent="0.2"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7:26" ht="15.75" customHeight="1" x14ac:dyDescent="0.2"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7:26" ht="15.75" customHeight="1" x14ac:dyDescent="0.2"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7:26" ht="15.75" customHeight="1" x14ac:dyDescent="0.2"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7:26" ht="15.75" customHeight="1" x14ac:dyDescent="0.2"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7:26" ht="15.75" customHeight="1" x14ac:dyDescent="0.2"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7:26" ht="15.75" customHeight="1" x14ac:dyDescent="0.2"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7:26" ht="15.75" customHeight="1" x14ac:dyDescent="0.2"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7:26" ht="15.75" customHeight="1" x14ac:dyDescent="0.2"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7:26" ht="15.75" customHeight="1" x14ac:dyDescent="0.2"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7:26" ht="15.75" customHeight="1" x14ac:dyDescent="0.2"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7:26" ht="15.75" customHeight="1" x14ac:dyDescent="0.2"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7:26" ht="15.75" customHeight="1" x14ac:dyDescent="0.2"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7:26" ht="15.75" customHeight="1" x14ac:dyDescent="0.2"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7:26" ht="15.75" customHeight="1" x14ac:dyDescent="0.2"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7:26" ht="15.75" customHeight="1" x14ac:dyDescent="0.2"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7:26" ht="15.75" customHeight="1" x14ac:dyDescent="0.2"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7:26" ht="15.75" customHeight="1" x14ac:dyDescent="0.2"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7:26" ht="15.75" customHeight="1" x14ac:dyDescent="0.2"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7:26" ht="15.75" customHeight="1" x14ac:dyDescent="0.2"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7:26" ht="15.75" customHeight="1" x14ac:dyDescent="0.2"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7:26" ht="15.75" customHeight="1" x14ac:dyDescent="0.2"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7:26" ht="15.75" customHeight="1" x14ac:dyDescent="0.2"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7:26" ht="15.75" customHeight="1" x14ac:dyDescent="0.2"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7:26" ht="15.75" customHeight="1" x14ac:dyDescent="0.2"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7:26" ht="15.75" customHeight="1" x14ac:dyDescent="0.2"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7:26" ht="15.75" customHeight="1" x14ac:dyDescent="0.2"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7:26" ht="15.75" customHeight="1" x14ac:dyDescent="0.2"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7:26" ht="15.75" customHeight="1" x14ac:dyDescent="0.2"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7:26" ht="15.75" customHeight="1" x14ac:dyDescent="0.2"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7:26" ht="15.75" customHeight="1" x14ac:dyDescent="0.2"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7:26" ht="15.75" customHeight="1" x14ac:dyDescent="0.2"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7:26" ht="15.75" customHeight="1" x14ac:dyDescent="0.2"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7:26" ht="15.75" customHeight="1" x14ac:dyDescent="0.2"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7:26" ht="15.75" customHeight="1" x14ac:dyDescent="0.2"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7:26" ht="15.75" customHeight="1" x14ac:dyDescent="0.2"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7:26" ht="15.75" customHeight="1" x14ac:dyDescent="0.2"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7:26" ht="15.75" customHeight="1" x14ac:dyDescent="0.2"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7:26" ht="15.75" customHeight="1" x14ac:dyDescent="0.2"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7:26" ht="15.75" customHeight="1" x14ac:dyDescent="0.2"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7:26" ht="15.75" customHeight="1" x14ac:dyDescent="0.2"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7:26" ht="15.75" customHeight="1" x14ac:dyDescent="0.2"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7:26" ht="15.75" customHeight="1" x14ac:dyDescent="0.2"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7:26" ht="15.75" customHeight="1" x14ac:dyDescent="0.2"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7:26" ht="15.75" customHeight="1" x14ac:dyDescent="0.2"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7:26" ht="15.75" customHeight="1" x14ac:dyDescent="0.2"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7:26" ht="15.75" customHeight="1" x14ac:dyDescent="0.2"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7:26" ht="15.75" customHeight="1" x14ac:dyDescent="0.2"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7:26" ht="15.75" customHeight="1" x14ac:dyDescent="0.2"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7:26" ht="15.75" customHeight="1" x14ac:dyDescent="0.2"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7:26" ht="15.75" customHeight="1" x14ac:dyDescent="0.2"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7:26" ht="15.75" customHeight="1" x14ac:dyDescent="0.2"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7:26" ht="15.75" customHeight="1" x14ac:dyDescent="0.2"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7:26" ht="15.75" customHeight="1" x14ac:dyDescent="0.2"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7:26" ht="15.75" customHeight="1" x14ac:dyDescent="0.2"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7:26" ht="15.75" customHeight="1" x14ac:dyDescent="0.2"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7:26" ht="15.75" customHeight="1" x14ac:dyDescent="0.2"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7:26" ht="15.75" customHeight="1" x14ac:dyDescent="0.2"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7:26" ht="15.75" customHeight="1" x14ac:dyDescent="0.2"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7:26" ht="15.75" customHeight="1" x14ac:dyDescent="0.2"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7:26" ht="15.75" customHeight="1" x14ac:dyDescent="0.2"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7:26" ht="15.75" customHeight="1" x14ac:dyDescent="0.2"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7:26" ht="15.75" customHeight="1" x14ac:dyDescent="0.2"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7:26" ht="15.75" customHeight="1" x14ac:dyDescent="0.2"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7:26" ht="15.75" customHeight="1" x14ac:dyDescent="0.2"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7:26" ht="15.75" customHeight="1" x14ac:dyDescent="0.2"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7:26" ht="15.75" customHeight="1" x14ac:dyDescent="0.2"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7:26" ht="15.75" customHeight="1" x14ac:dyDescent="0.2"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7:26" ht="15.75" customHeight="1" x14ac:dyDescent="0.2"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7:26" ht="15.75" customHeight="1" x14ac:dyDescent="0.2"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7:26" ht="15.75" customHeight="1" x14ac:dyDescent="0.2"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7:26" ht="15.75" customHeight="1" x14ac:dyDescent="0.2"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7:26" ht="15.75" customHeight="1" x14ac:dyDescent="0.2"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7:26" ht="15.75" customHeight="1" x14ac:dyDescent="0.2"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7:26" ht="15.75" customHeight="1" x14ac:dyDescent="0.2"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7:26" ht="15.75" customHeight="1" x14ac:dyDescent="0.2"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7:26" ht="15.75" customHeight="1" x14ac:dyDescent="0.2"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7:26" ht="15.75" customHeight="1" x14ac:dyDescent="0.2"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7:26" ht="15.75" customHeight="1" x14ac:dyDescent="0.2"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7:26" ht="15.75" customHeight="1" x14ac:dyDescent="0.2"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7:26" ht="15.75" customHeight="1" x14ac:dyDescent="0.2"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7:26" ht="15.75" customHeight="1" x14ac:dyDescent="0.2"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7:26" ht="15.75" customHeight="1" x14ac:dyDescent="0.2"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7:26" ht="15.75" customHeight="1" x14ac:dyDescent="0.2"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7:26" ht="15.75" customHeight="1" x14ac:dyDescent="0.2"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7:26" ht="15.75" customHeight="1" x14ac:dyDescent="0.2"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7:26" ht="15.75" customHeight="1" x14ac:dyDescent="0.2"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7:26" ht="15.75" customHeight="1" x14ac:dyDescent="0.2"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7:26" ht="15.75" customHeight="1" x14ac:dyDescent="0.2"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7:26" ht="15.75" customHeight="1" x14ac:dyDescent="0.2"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7:26" ht="15.75" customHeight="1" x14ac:dyDescent="0.2"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7:26" ht="15.75" customHeight="1" x14ac:dyDescent="0.2"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7:26" ht="15.75" customHeight="1" x14ac:dyDescent="0.2"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7:26" ht="15.75" customHeight="1" x14ac:dyDescent="0.2"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7:26" ht="15.75" customHeight="1" x14ac:dyDescent="0.2"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7:26" ht="15.75" customHeight="1" x14ac:dyDescent="0.2"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7:26" ht="15.75" customHeight="1" x14ac:dyDescent="0.2"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7:26" ht="15.75" customHeight="1" x14ac:dyDescent="0.2"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7:26" ht="15.75" customHeight="1" x14ac:dyDescent="0.2"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7:26" ht="15.75" customHeight="1" x14ac:dyDescent="0.2"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7:26" ht="15.75" customHeight="1" x14ac:dyDescent="0.2"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7:26" ht="15.75" customHeight="1" x14ac:dyDescent="0.2"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7:26" ht="15.75" customHeight="1" x14ac:dyDescent="0.2"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7:26" ht="15.75" customHeight="1" x14ac:dyDescent="0.2"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7:26" ht="15.75" customHeight="1" x14ac:dyDescent="0.2"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7:26" ht="15.75" customHeight="1" x14ac:dyDescent="0.2"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7:26" ht="15.75" customHeight="1" x14ac:dyDescent="0.2"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7:26" ht="15.75" customHeight="1" x14ac:dyDescent="0.2"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7:26" ht="15.75" customHeight="1" x14ac:dyDescent="0.2"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7:26" ht="15.75" customHeight="1" x14ac:dyDescent="0.2"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7:26" ht="15.75" customHeight="1" x14ac:dyDescent="0.2"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7:26" ht="15.75" customHeight="1" x14ac:dyDescent="0.2"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7:26" ht="15.75" customHeight="1" x14ac:dyDescent="0.2"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7:26" ht="15.75" customHeight="1" x14ac:dyDescent="0.2"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7:26" ht="15.75" customHeight="1" x14ac:dyDescent="0.2"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7:26" ht="15.75" customHeight="1" x14ac:dyDescent="0.2"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7:26" ht="15.75" customHeight="1" x14ac:dyDescent="0.2"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7:26" ht="15.75" customHeight="1" x14ac:dyDescent="0.2"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7:26" ht="15.75" customHeight="1" x14ac:dyDescent="0.2"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7:26" ht="15.75" customHeight="1" x14ac:dyDescent="0.2"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7:26" ht="15.75" customHeight="1" x14ac:dyDescent="0.2"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7:26" ht="15.75" customHeight="1" x14ac:dyDescent="0.2"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7:26" ht="15.75" customHeight="1" x14ac:dyDescent="0.2"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7:26" ht="15.75" customHeight="1" x14ac:dyDescent="0.2"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7:26" ht="15.75" customHeight="1" x14ac:dyDescent="0.2"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7:26" ht="15.75" customHeight="1" x14ac:dyDescent="0.2"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7:26" ht="15.75" customHeight="1" x14ac:dyDescent="0.2"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7:26" ht="15.75" customHeight="1" x14ac:dyDescent="0.2"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7:26" ht="15.75" customHeight="1" x14ac:dyDescent="0.2"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7:26" ht="15.75" customHeight="1" x14ac:dyDescent="0.2"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7:26" ht="15.75" customHeight="1" x14ac:dyDescent="0.2"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7:26" ht="15.75" customHeight="1" x14ac:dyDescent="0.2"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7:26" ht="15.75" customHeight="1" x14ac:dyDescent="0.2"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7:26" ht="15.75" customHeight="1" x14ac:dyDescent="0.2"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7:26" ht="15.75" customHeight="1" x14ac:dyDescent="0.2"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7:26" ht="15.75" customHeight="1" x14ac:dyDescent="0.2"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7:26" ht="15.75" customHeight="1" x14ac:dyDescent="0.2"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7:26" ht="15.75" customHeight="1" x14ac:dyDescent="0.2"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7:26" ht="15.75" customHeight="1" x14ac:dyDescent="0.2"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7:26" ht="15.75" customHeight="1" x14ac:dyDescent="0.2"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7:26" ht="15.75" customHeight="1" x14ac:dyDescent="0.2"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7:26" ht="15.75" customHeight="1" x14ac:dyDescent="0.2"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7:26" ht="15.75" customHeight="1" x14ac:dyDescent="0.2"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7:26" ht="15.75" customHeight="1" x14ac:dyDescent="0.2"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7:26" ht="15.75" customHeight="1" x14ac:dyDescent="0.2"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7:26" ht="15.75" customHeight="1" x14ac:dyDescent="0.2"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7:26" ht="15.75" customHeight="1" x14ac:dyDescent="0.2"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7:26" ht="15.75" customHeight="1" x14ac:dyDescent="0.2"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7:26" ht="15.75" customHeight="1" x14ac:dyDescent="0.2"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7:26" ht="15.75" customHeight="1" x14ac:dyDescent="0.2"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7:26" ht="15.75" customHeight="1" x14ac:dyDescent="0.2"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7:26" ht="15.75" customHeight="1" x14ac:dyDescent="0.2"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7:26" ht="15.75" customHeight="1" x14ac:dyDescent="0.2"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7:26" ht="15.75" customHeight="1" x14ac:dyDescent="0.2"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7:26" ht="15.75" customHeight="1" x14ac:dyDescent="0.2"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7:26" ht="15.75" customHeight="1" x14ac:dyDescent="0.2"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7:26" ht="15.75" customHeight="1" x14ac:dyDescent="0.2"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7:26" ht="15.75" customHeight="1" x14ac:dyDescent="0.2"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7:26" ht="15.75" customHeight="1" x14ac:dyDescent="0.2"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7:26" ht="15.75" customHeight="1" x14ac:dyDescent="0.2"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7:26" ht="15.75" customHeight="1" x14ac:dyDescent="0.2"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7:26" ht="15.75" customHeight="1" x14ac:dyDescent="0.2"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7:26" ht="15.75" customHeight="1" x14ac:dyDescent="0.2"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7:26" ht="15.75" customHeight="1" x14ac:dyDescent="0.2"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7:26" ht="15.75" customHeight="1" x14ac:dyDescent="0.2"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7:26" ht="15.75" customHeight="1" x14ac:dyDescent="0.2"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7:26" ht="15.75" customHeight="1" x14ac:dyDescent="0.2"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7:26" ht="15.75" customHeight="1" x14ac:dyDescent="0.2"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7:26" ht="15.75" customHeight="1" x14ac:dyDescent="0.2"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7:26" ht="15.75" customHeight="1" x14ac:dyDescent="0.2"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7:26" ht="15.75" customHeight="1" x14ac:dyDescent="0.2"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7:26" ht="15.75" customHeight="1" x14ac:dyDescent="0.2"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7:26" ht="15.75" customHeight="1" x14ac:dyDescent="0.2"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7:26" ht="15.75" customHeight="1" x14ac:dyDescent="0.2"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7:26" ht="15.75" customHeight="1" x14ac:dyDescent="0.2"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7:26" ht="15.75" customHeight="1" x14ac:dyDescent="0.2"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7:26" ht="15.75" customHeight="1" x14ac:dyDescent="0.2"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7:26" ht="15.75" customHeight="1" x14ac:dyDescent="0.2"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7:26" ht="15.75" customHeight="1" x14ac:dyDescent="0.2"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7:26" ht="15.75" customHeight="1" x14ac:dyDescent="0.2"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7:26" ht="15.75" customHeight="1" x14ac:dyDescent="0.2"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7:26" ht="15.75" customHeight="1" x14ac:dyDescent="0.2"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7:26" ht="15.75" customHeight="1" x14ac:dyDescent="0.2"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7:26" ht="15.75" customHeight="1" x14ac:dyDescent="0.2"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7:26" ht="15.75" customHeight="1" x14ac:dyDescent="0.2"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7:26" ht="15.75" customHeight="1" x14ac:dyDescent="0.2"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7:26" ht="15.75" customHeight="1" x14ac:dyDescent="0.2"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7:26" ht="15.75" customHeight="1" x14ac:dyDescent="0.2"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7:26" ht="15.75" customHeight="1" x14ac:dyDescent="0.2"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7:26" ht="15.75" customHeight="1" x14ac:dyDescent="0.2"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7:26" ht="15.75" customHeight="1" x14ac:dyDescent="0.2"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7:26" ht="15.75" customHeight="1" x14ac:dyDescent="0.2"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7:26" ht="15.75" customHeight="1" x14ac:dyDescent="0.2"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7:26" ht="15.75" customHeight="1" x14ac:dyDescent="0.2"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7:26" ht="15.75" customHeight="1" x14ac:dyDescent="0.2"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7:26" ht="15.75" customHeight="1" x14ac:dyDescent="0.2"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7:26" ht="15.75" customHeight="1" x14ac:dyDescent="0.2"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7:26" ht="15.75" customHeight="1" x14ac:dyDescent="0.2"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7:26" ht="15.75" customHeight="1" x14ac:dyDescent="0.2"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7:26" ht="15.75" customHeight="1" x14ac:dyDescent="0.2"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7:26" ht="15.75" customHeight="1" x14ac:dyDescent="0.2"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7:26" ht="15.75" customHeight="1" x14ac:dyDescent="0.2"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7:26" ht="15.75" customHeight="1" x14ac:dyDescent="0.2"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7:26" ht="15.75" customHeight="1" x14ac:dyDescent="0.2"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7:26" ht="15.75" customHeight="1" x14ac:dyDescent="0.2"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7:26" ht="15.75" customHeight="1" x14ac:dyDescent="0.2"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7:26" ht="15.75" customHeight="1" x14ac:dyDescent="0.2"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7:26" ht="15.75" customHeight="1" x14ac:dyDescent="0.2"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7:26" ht="15.75" customHeight="1" x14ac:dyDescent="0.2"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7:26" ht="15.75" customHeight="1" x14ac:dyDescent="0.2"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7:26" ht="15.75" customHeight="1" x14ac:dyDescent="0.2"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7:26" ht="15.75" customHeight="1" x14ac:dyDescent="0.2"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7:26" ht="15.75" customHeight="1" x14ac:dyDescent="0.2"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7:26" ht="15.75" customHeight="1" x14ac:dyDescent="0.2"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7:26" ht="15.75" customHeight="1" x14ac:dyDescent="0.2"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7:26" ht="15.75" customHeight="1" x14ac:dyDescent="0.2"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7:26" ht="15.75" customHeight="1" x14ac:dyDescent="0.2"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7:26" ht="15.75" customHeight="1" x14ac:dyDescent="0.2"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7:26" ht="15.75" customHeight="1" x14ac:dyDescent="0.2"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7:26" ht="15.75" customHeight="1" x14ac:dyDescent="0.2"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7:26" ht="15.75" customHeight="1" x14ac:dyDescent="0.2"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7:26" ht="15.75" customHeight="1" x14ac:dyDescent="0.2"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7:26" ht="15.75" customHeight="1" x14ac:dyDescent="0.2"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7:26" ht="15.75" customHeight="1" x14ac:dyDescent="0.2"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7:26" ht="15.75" customHeight="1" x14ac:dyDescent="0.2"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7:26" ht="15.75" customHeight="1" x14ac:dyDescent="0.2"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7:26" ht="15.75" customHeight="1" x14ac:dyDescent="0.2"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7:26" ht="15.75" customHeight="1" x14ac:dyDescent="0.2"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7:26" ht="15.75" customHeight="1" x14ac:dyDescent="0.2"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7:26" ht="15.75" customHeight="1" x14ac:dyDescent="0.2"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7:26" ht="15.75" customHeight="1" x14ac:dyDescent="0.2"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7:26" ht="15.75" customHeight="1" x14ac:dyDescent="0.2"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7:26" ht="15.75" customHeight="1" x14ac:dyDescent="0.2"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7:26" ht="15.75" customHeight="1" x14ac:dyDescent="0.2"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7:26" ht="15.75" customHeight="1" x14ac:dyDescent="0.2"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7:26" ht="15.75" customHeight="1" x14ac:dyDescent="0.2"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7:26" ht="15.75" customHeight="1" x14ac:dyDescent="0.2"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7:26" ht="15.75" customHeight="1" x14ac:dyDescent="0.2"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7:26" ht="15.75" customHeight="1" x14ac:dyDescent="0.2"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7:26" ht="15.75" customHeight="1" x14ac:dyDescent="0.2"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7:26" ht="15.75" customHeight="1" x14ac:dyDescent="0.2"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7:26" ht="15.75" customHeight="1" x14ac:dyDescent="0.2"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7:26" ht="15.75" customHeight="1" x14ac:dyDescent="0.2"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7:26" ht="15.75" customHeight="1" x14ac:dyDescent="0.2"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7:26" ht="15.75" customHeight="1" x14ac:dyDescent="0.2"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7:26" ht="15.75" customHeight="1" x14ac:dyDescent="0.2"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7:26" ht="15.75" customHeight="1" x14ac:dyDescent="0.2"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7:26" ht="15.75" customHeight="1" x14ac:dyDescent="0.2"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7:26" ht="15.75" customHeight="1" x14ac:dyDescent="0.2"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7:26" ht="15.75" customHeight="1" x14ac:dyDescent="0.2"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7:26" ht="15.75" customHeight="1" x14ac:dyDescent="0.2"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7:26" ht="15.75" customHeight="1" x14ac:dyDescent="0.2"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7:26" ht="15.75" customHeight="1" x14ac:dyDescent="0.2"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7:26" ht="15.75" customHeight="1" x14ac:dyDescent="0.2"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7:26" ht="15.75" customHeight="1" x14ac:dyDescent="0.2"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7:26" ht="15.75" customHeight="1" x14ac:dyDescent="0.2"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7:26" ht="15.75" customHeight="1" x14ac:dyDescent="0.2"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7:26" ht="15.75" customHeight="1" x14ac:dyDescent="0.2"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7:26" ht="15.75" customHeight="1" x14ac:dyDescent="0.2"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7:26" ht="15.75" customHeight="1" x14ac:dyDescent="0.2"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7:26" ht="15.75" customHeight="1" x14ac:dyDescent="0.2"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7:26" ht="15.75" customHeight="1" x14ac:dyDescent="0.2"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7:26" ht="15.75" customHeight="1" x14ac:dyDescent="0.2"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7:26" ht="15.75" customHeight="1" x14ac:dyDescent="0.2"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7:26" ht="15.75" customHeight="1" x14ac:dyDescent="0.2"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7:26" ht="15.75" customHeight="1" x14ac:dyDescent="0.2"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7:26" ht="15.75" customHeight="1" x14ac:dyDescent="0.2"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7:26" ht="15.75" customHeight="1" x14ac:dyDescent="0.2"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7:26" ht="15.75" customHeight="1" x14ac:dyDescent="0.2"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7:26" ht="15.75" customHeight="1" x14ac:dyDescent="0.2"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7:26" ht="15.75" customHeight="1" x14ac:dyDescent="0.2"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7:26" ht="15.75" customHeight="1" x14ac:dyDescent="0.2"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7:26" ht="15.75" customHeight="1" x14ac:dyDescent="0.2"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7:26" ht="15.75" customHeight="1" x14ac:dyDescent="0.2"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7:26" ht="15.75" customHeight="1" x14ac:dyDescent="0.2"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7:26" ht="15.75" customHeight="1" x14ac:dyDescent="0.2"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7:26" ht="15.75" customHeight="1" x14ac:dyDescent="0.2"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7:26" ht="15.75" customHeight="1" x14ac:dyDescent="0.2"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7:26" ht="15.75" customHeight="1" x14ac:dyDescent="0.2"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7:26" ht="15.75" customHeight="1" x14ac:dyDescent="0.2"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7:26" ht="15.75" customHeight="1" x14ac:dyDescent="0.2"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7:26" ht="15.75" customHeight="1" x14ac:dyDescent="0.2"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7:26" ht="15.75" customHeight="1" x14ac:dyDescent="0.2"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7:26" ht="15.75" customHeight="1" x14ac:dyDescent="0.2"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7:26" ht="15.75" customHeight="1" x14ac:dyDescent="0.2"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7:26" ht="15.75" customHeight="1" x14ac:dyDescent="0.2"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7:26" ht="15.75" customHeight="1" x14ac:dyDescent="0.2"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7:26" ht="15.75" customHeight="1" x14ac:dyDescent="0.2"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7:26" ht="15.75" customHeight="1" x14ac:dyDescent="0.2"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7:26" ht="15.75" customHeight="1" x14ac:dyDescent="0.2"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7:26" ht="15.75" customHeight="1" x14ac:dyDescent="0.2"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7:26" ht="15.75" customHeight="1" x14ac:dyDescent="0.2"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7:26" ht="15.75" customHeight="1" x14ac:dyDescent="0.2"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7:26" ht="15.75" customHeight="1" x14ac:dyDescent="0.2"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7:26" ht="15.75" customHeight="1" x14ac:dyDescent="0.2"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7:26" ht="15.75" customHeight="1" x14ac:dyDescent="0.2"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7:26" ht="15.75" customHeight="1" x14ac:dyDescent="0.2"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7:26" ht="15.75" customHeight="1" x14ac:dyDescent="0.2"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7:26" ht="15.75" customHeight="1" x14ac:dyDescent="0.2"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7:26" ht="15.75" customHeight="1" x14ac:dyDescent="0.2"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7:26" ht="15.75" customHeight="1" x14ac:dyDescent="0.2"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7:26" ht="15.75" customHeight="1" x14ac:dyDescent="0.2"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7:26" ht="15.75" customHeight="1" x14ac:dyDescent="0.2"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7:26" ht="15.75" customHeight="1" x14ac:dyDescent="0.2"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7:26" ht="15.75" customHeight="1" x14ac:dyDescent="0.2"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7:26" ht="15.75" customHeight="1" x14ac:dyDescent="0.2"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7:26" ht="15.75" customHeight="1" x14ac:dyDescent="0.2"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7:26" ht="15.75" customHeight="1" x14ac:dyDescent="0.2"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7:26" ht="15.75" customHeight="1" x14ac:dyDescent="0.2"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7:26" ht="15.75" customHeight="1" x14ac:dyDescent="0.2"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7:26" ht="15.75" customHeight="1" x14ac:dyDescent="0.2"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7:26" ht="15.75" customHeight="1" x14ac:dyDescent="0.2"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7:26" ht="15.75" customHeight="1" x14ac:dyDescent="0.2"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7:26" ht="15.75" customHeight="1" x14ac:dyDescent="0.2"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7:26" ht="15.75" customHeight="1" x14ac:dyDescent="0.2"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7:26" ht="15.75" customHeight="1" x14ac:dyDescent="0.2"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7:26" ht="15.75" customHeight="1" x14ac:dyDescent="0.2"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7:26" ht="15.75" customHeight="1" x14ac:dyDescent="0.2"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7:26" ht="15.75" customHeight="1" x14ac:dyDescent="0.2"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7:26" ht="15.75" customHeight="1" x14ac:dyDescent="0.2"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7:26" ht="15.75" customHeight="1" x14ac:dyDescent="0.2"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7:26" ht="15.75" customHeight="1" x14ac:dyDescent="0.2"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7:26" ht="15.75" customHeight="1" x14ac:dyDescent="0.2"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7:26" ht="15.75" customHeight="1" x14ac:dyDescent="0.2"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7:26" ht="15.75" customHeight="1" x14ac:dyDescent="0.2"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7:26" ht="15.75" customHeight="1" x14ac:dyDescent="0.2"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7:26" ht="15.75" customHeight="1" x14ac:dyDescent="0.2"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7:26" ht="15.75" customHeight="1" x14ac:dyDescent="0.2"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7:26" ht="15.75" customHeight="1" x14ac:dyDescent="0.2"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7:26" ht="15.75" customHeight="1" x14ac:dyDescent="0.2"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7:26" ht="15.75" customHeight="1" x14ac:dyDescent="0.2"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7:26" ht="15.75" customHeight="1" x14ac:dyDescent="0.2"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7:26" ht="15.75" customHeight="1" x14ac:dyDescent="0.2"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7:26" ht="15.75" customHeight="1" x14ac:dyDescent="0.2"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7:26" ht="15.75" customHeight="1" x14ac:dyDescent="0.2"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7:26" ht="15.75" customHeight="1" x14ac:dyDescent="0.2"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7:26" ht="15.75" customHeight="1" x14ac:dyDescent="0.2"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7:26" ht="15.75" customHeight="1" x14ac:dyDescent="0.2"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7:26" ht="15.75" customHeight="1" x14ac:dyDescent="0.2"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7:26" ht="15.75" customHeight="1" x14ac:dyDescent="0.2"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7:26" ht="15.75" customHeight="1" x14ac:dyDescent="0.2"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7:26" ht="15.75" customHeight="1" x14ac:dyDescent="0.2"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7:26" ht="15.75" customHeight="1" x14ac:dyDescent="0.2"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7:26" ht="15.75" customHeight="1" x14ac:dyDescent="0.2"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7:26" ht="15.75" customHeight="1" x14ac:dyDescent="0.2"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7:26" ht="15.75" customHeight="1" x14ac:dyDescent="0.2"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7:26" ht="15.75" customHeight="1" x14ac:dyDescent="0.2"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7:26" ht="15.75" customHeight="1" x14ac:dyDescent="0.2"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7:26" ht="15.75" customHeight="1" x14ac:dyDescent="0.2"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7:26" ht="15.75" customHeight="1" x14ac:dyDescent="0.2"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7:26" ht="15.75" customHeight="1" x14ac:dyDescent="0.2"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7:26" ht="15.75" customHeight="1" x14ac:dyDescent="0.2"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7:26" ht="15.75" customHeight="1" x14ac:dyDescent="0.2"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7:26" ht="15.75" customHeight="1" x14ac:dyDescent="0.2"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7:26" ht="15.75" customHeight="1" x14ac:dyDescent="0.2"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7:26" ht="15.75" customHeight="1" x14ac:dyDescent="0.2"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7:26" ht="15.75" customHeight="1" x14ac:dyDescent="0.2"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7:26" ht="15.75" customHeight="1" x14ac:dyDescent="0.2"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7:26" ht="15.75" customHeight="1" x14ac:dyDescent="0.2"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7:26" ht="15.75" customHeight="1" x14ac:dyDescent="0.2"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7:26" ht="15.75" customHeight="1" x14ac:dyDescent="0.2"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7:26" ht="15.75" customHeight="1" x14ac:dyDescent="0.2"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7:26" ht="15.75" customHeight="1" x14ac:dyDescent="0.2"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7:26" ht="15.75" customHeight="1" x14ac:dyDescent="0.2"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7:26" ht="15.75" customHeight="1" x14ac:dyDescent="0.2"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7:26" ht="15.75" customHeight="1" x14ac:dyDescent="0.2"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7:26" ht="15.75" customHeight="1" x14ac:dyDescent="0.2"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7:26" ht="15.75" customHeight="1" x14ac:dyDescent="0.2"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7:26" ht="15.75" customHeight="1" x14ac:dyDescent="0.2"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7:26" ht="15.75" customHeight="1" x14ac:dyDescent="0.2"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7:26" ht="15.75" customHeight="1" x14ac:dyDescent="0.2"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7:26" ht="15.75" customHeight="1" x14ac:dyDescent="0.2"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7:26" ht="15.75" customHeight="1" x14ac:dyDescent="0.2"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7:26" ht="15.75" customHeight="1" x14ac:dyDescent="0.2"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7:26" ht="15.75" customHeight="1" x14ac:dyDescent="0.2"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7:26" ht="15.75" customHeight="1" x14ac:dyDescent="0.2"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7:26" ht="15.75" customHeight="1" x14ac:dyDescent="0.2"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7:26" ht="15.75" customHeight="1" x14ac:dyDescent="0.2"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7:26" ht="15.75" customHeight="1" x14ac:dyDescent="0.2"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7:26" ht="15.75" customHeight="1" x14ac:dyDescent="0.2"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7:26" ht="15.75" customHeight="1" x14ac:dyDescent="0.2"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7:26" ht="15.75" customHeight="1" x14ac:dyDescent="0.2"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7:26" ht="15.75" customHeight="1" x14ac:dyDescent="0.2"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7:26" ht="15.75" customHeight="1" x14ac:dyDescent="0.2"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7:26" ht="15.75" customHeight="1" x14ac:dyDescent="0.2"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7:26" ht="15.75" customHeight="1" x14ac:dyDescent="0.2"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7:26" ht="15.75" customHeight="1" x14ac:dyDescent="0.2"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7:26" ht="15.75" customHeight="1" x14ac:dyDescent="0.2"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7:26" ht="15.75" customHeight="1" x14ac:dyDescent="0.2"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7:26" ht="15.75" customHeight="1" x14ac:dyDescent="0.2"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7:26" ht="15.75" customHeight="1" x14ac:dyDescent="0.2"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7:26" ht="15.75" customHeight="1" x14ac:dyDescent="0.2"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7:26" ht="15.75" customHeight="1" x14ac:dyDescent="0.2"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7:26" ht="15.75" customHeight="1" x14ac:dyDescent="0.2"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7:26" ht="15.75" customHeight="1" x14ac:dyDescent="0.2"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7:26" ht="15.75" customHeight="1" x14ac:dyDescent="0.2"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7:26" ht="15.75" customHeight="1" x14ac:dyDescent="0.2"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7:26" ht="15.75" customHeight="1" x14ac:dyDescent="0.2"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7:26" ht="15.75" customHeight="1" x14ac:dyDescent="0.2"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7:26" ht="15.75" customHeight="1" x14ac:dyDescent="0.2"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7:26" ht="15.75" customHeight="1" x14ac:dyDescent="0.2"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7:26" ht="15.75" customHeight="1" x14ac:dyDescent="0.2"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7:26" ht="15.75" customHeight="1" x14ac:dyDescent="0.2"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7:26" ht="15.75" customHeight="1" x14ac:dyDescent="0.2"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7:26" ht="15.75" customHeight="1" x14ac:dyDescent="0.2"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7:26" ht="15.75" customHeight="1" x14ac:dyDescent="0.2"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7:26" ht="15.75" customHeight="1" x14ac:dyDescent="0.2"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7:26" ht="15.75" customHeight="1" x14ac:dyDescent="0.2"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7:26" ht="15.75" customHeight="1" x14ac:dyDescent="0.2"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7:26" ht="15.75" customHeight="1" x14ac:dyDescent="0.2"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7:26" ht="15.75" customHeight="1" x14ac:dyDescent="0.2"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7:26" ht="15.75" customHeight="1" x14ac:dyDescent="0.2"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7:26" ht="15.75" customHeight="1" x14ac:dyDescent="0.2"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A11:E11"/>
    <mergeCell ref="B7:E7"/>
    <mergeCell ref="A1:E1"/>
    <mergeCell ref="B5:E5"/>
    <mergeCell ref="B9:E9"/>
    <mergeCell ref="A4:E4"/>
    <mergeCell ref="B8:E8"/>
    <mergeCell ref="A2:E2"/>
    <mergeCell ref="B6:E6"/>
  </mergeCells>
  <pageMargins left="0.75" right="0.75" top="1" bottom="1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zoomScaleNormal="100" workbookViewId="0"/>
  </sheetViews>
  <sheetFormatPr defaultColWidth="14.390625" defaultRowHeight="15" x14ac:dyDescent="0.2"/>
  <cols>
    <col min="1" max="1" width="29.99609375" style="1" customWidth="1"/>
    <col min="2" max="4" width="16.0078125" style="1" customWidth="1"/>
    <col min="5" max="5" width="29.99609375" style="1" customWidth="1"/>
    <col min="6" max="6" width="8.7421875" style="1" customWidth="1"/>
  </cols>
  <sheetData>
    <row r="1" spans="1:26" ht="24" customHeight="1" x14ac:dyDescent="0.2">
      <c r="A1" s="20" t="s">
        <v>45</v>
      </c>
      <c r="B1" s="21"/>
      <c r="C1" s="21"/>
      <c r="D1" s="21"/>
      <c r="E1" s="2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">
      <c r="A2" s="26" t="s">
        <v>46</v>
      </c>
      <c r="B2" s="21"/>
      <c r="C2" s="21"/>
      <c r="D2" s="21"/>
      <c r="E2" s="2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"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.5" customHeight="1" x14ac:dyDescent="0.2">
      <c r="A4" s="23" t="s">
        <v>47</v>
      </c>
      <c r="B4" s="24"/>
      <c r="C4" s="24"/>
      <c r="D4" s="24"/>
      <c r="E4" s="25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3.25" customHeight="1" x14ac:dyDescent="0.2">
      <c r="A5" s="8" t="s">
        <v>48</v>
      </c>
      <c r="B5" s="8" t="s">
        <v>49</v>
      </c>
      <c r="C5" s="8" t="s">
        <v>50</v>
      </c>
      <c r="D5" s="8" t="s">
        <v>51</v>
      </c>
      <c r="E5" s="8" t="s">
        <v>52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2">
      <c r="A6" s="4" t="s">
        <v>53</v>
      </c>
      <c r="B6" s="4" t="s">
        <v>54</v>
      </c>
      <c r="C6" s="6" t="s">
        <v>55</v>
      </c>
      <c r="D6" s="6" t="s">
        <v>56</v>
      </c>
      <c r="E6" s="6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2">
      <c r="A7" s="4" t="s">
        <v>57</v>
      </c>
      <c r="B7" s="4" t="s">
        <v>58</v>
      </c>
      <c r="C7" s="6" t="s">
        <v>59</v>
      </c>
      <c r="D7" s="6" t="s">
        <v>56</v>
      </c>
      <c r="E7" s="6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2">
      <c r="A8" s="11" t="s">
        <v>60</v>
      </c>
      <c r="B8" s="11" t="s">
        <v>61</v>
      </c>
      <c r="C8" s="7" t="s">
        <v>62</v>
      </c>
      <c r="D8" s="7" t="s">
        <v>62</v>
      </c>
      <c r="E8" s="7" t="s">
        <v>63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2">
      <c r="A9" s="11" t="s">
        <v>64</v>
      </c>
      <c r="B9" s="11" t="s">
        <v>61</v>
      </c>
      <c r="C9" s="7" t="s">
        <v>62</v>
      </c>
      <c r="D9" s="7" t="s">
        <v>62</v>
      </c>
      <c r="E9" s="7" t="s">
        <v>63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2">
      <c r="A10" s="11" t="s">
        <v>65</v>
      </c>
      <c r="B10" s="11" t="s">
        <v>61</v>
      </c>
      <c r="C10" s="7" t="s">
        <v>66</v>
      </c>
      <c r="D10" s="7" t="s">
        <v>66</v>
      </c>
      <c r="E10" s="7" t="s">
        <v>63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2">
      <c r="A11" s="11" t="s">
        <v>67</v>
      </c>
      <c r="B11" s="11" t="s">
        <v>61</v>
      </c>
      <c r="C11" s="7" t="s">
        <v>68</v>
      </c>
      <c r="D11" s="7" t="s">
        <v>68</v>
      </c>
      <c r="E11" s="7" t="s">
        <v>69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2">
      <c r="A12" s="11" t="s">
        <v>70</v>
      </c>
      <c r="B12" s="11" t="s">
        <v>61</v>
      </c>
      <c r="C12" s="7" t="s">
        <v>71</v>
      </c>
      <c r="D12" s="7" t="s">
        <v>71</v>
      </c>
      <c r="E12" s="7" t="s">
        <v>63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23.25" customHeight="1" x14ac:dyDescent="0.2">
      <c r="A13" s="4" t="s">
        <v>72</v>
      </c>
      <c r="B13" s="4" t="s">
        <v>73</v>
      </c>
      <c r="C13" s="6" t="s">
        <v>55</v>
      </c>
      <c r="D13" s="6" t="s">
        <v>74</v>
      </c>
      <c r="E13" s="6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2"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9.5" customHeight="1" x14ac:dyDescent="0.2">
      <c r="A15" s="23" t="s">
        <v>75</v>
      </c>
      <c r="B15" s="24"/>
      <c r="C15" s="24"/>
      <c r="D15" s="24"/>
      <c r="E15" s="25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23.25" customHeight="1" x14ac:dyDescent="0.2">
      <c r="A16" s="8" t="s">
        <v>48</v>
      </c>
      <c r="B16" s="8" t="s">
        <v>49</v>
      </c>
      <c r="C16" s="8" t="s">
        <v>50</v>
      </c>
      <c r="D16" s="8" t="s">
        <v>51</v>
      </c>
      <c r="E16" s="8" t="s">
        <v>52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2">
      <c r="A17" s="4" t="s">
        <v>76</v>
      </c>
      <c r="B17" s="4" t="s">
        <v>23</v>
      </c>
      <c r="C17" s="6" t="s">
        <v>77</v>
      </c>
      <c r="D17" s="6" t="s">
        <v>78</v>
      </c>
      <c r="E17" s="6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2">
      <c r="A18" s="4" t="s">
        <v>79</v>
      </c>
      <c r="B18" s="4" t="s">
        <v>23</v>
      </c>
      <c r="C18" s="6" t="s">
        <v>55</v>
      </c>
      <c r="D18" s="6" t="s">
        <v>56</v>
      </c>
      <c r="E18" s="6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2">
      <c r="A19" s="4" t="s">
        <v>80</v>
      </c>
      <c r="B19" s="4" t="s">
        <v>81</v>
      </c>
      <c r="C19" s="6" t="s">
        <v>59</v>
      </c>
      <c r="D19" s="6" t="s">
        <v>82</v>
      </c>
      <c r="E19" s="6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2">
      <c r="A20" s="4" t="s">
        <v>83</v>
      </c>
      <c r="B20" s="4" t="s">
        <v>30</v>
      </c>
      <c r="C20" s="6" t="s">
        <v>77</v>
      </c>
      <c r="D20" s="6" t="s">
        <v>74</v>
      </c>
      <c r="E20" s="6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4" t="s">
        <v>41</v>
      </c>
      <c r="B21" s="4" t="s">
        <v>41</v>
      </c>
      <c r="C21" s="6" t="s">
        <v>55</v>
      </c>
      <c r="D21" s="6" t="s">
        <v>56</v>
      </c>
      <c r="E21" s="6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4" t="s">
        <v>32</v>
      </c>
      <c r="B22" s="4" t="s">
        <v>32</v>
      </c>
      <c r="C22" s="6" t="s">
        <v>77</v>
      </c>
      <c r="D22" s="6" t="s">
        <v>74</v>
      </c>
      <c r="E22" s="6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9.5" customHeight="1" x14ac:dyDescent="0.2">
      <c r="A24" s="23" t="s">
        <v>84</v>
      </c>
      <c r="B24" s="24"/>
      <c r="C24" s="24"/>
      <c r="D24" s="24"/>
      <c r="E24" s="25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8" t="s">
        <v>48</v>
      </c>
      <c r="B25" s="8" t="s">
        <v>49</v>
      </c>
      <c r="C25" s="8" t="s">
        <v>50</v>
      </c>
      <c r="D25" s="8" t="s">
        <v>51</v>
      </c>
      <c r="E25" s="8" t="s">
        <v>52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4" t="s">
        <v>85</v>
      </c>
      <c r="B26" s="4" t="s">
        <v>86</v>
      </c>
      <c r="C26" s="6" t="s">
        <v>77</v>
      </c>
      <c r="D26" s="6" t="s">
        <v>78</v>
      </c>
      <c r="E26" s="6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4" t="s">
        <v>87</v>
      </c>
      <c r="B27" s="4" t="s">
        <v>86</v>
      </c>
      <c r="C27" s="6" t="s">
        <v>77</v>
      </c>
      <c r="D27" s="6" t="s">
        <v>74</v>
      </c>
      <c r="E27" s="6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4" t="s">
        <v>88</v>
      </c>
      <c r="B28" s="4" t="s">
        <v>89</v>
      </c>
      <c r="C28" s="6" t="s">
        <v>55</v>
      </c>
      <c r="D28" s="6" t="s">
        <v>56</v>
      </c>
      <c r="E28" s="6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4" t="s">
        <v>90</v>
      </c>
      <c r="B29" s="4" t="s">
        <v>91</v>
      </c>
      <c r="C29" s="6" t="s">
        <v>59</v>
      </c>
      <c r="D29" s="6" t="s">
        <v>82</v>
      </c>
      <c r="E29" s="6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4" t="s">
        <v>92</v>
      </c>
      <c r="B30" s="4" t="s">
        <v>54</v>
      </c>
      <c r="C30" s="6" t="s">
        <v>55</v>
      </c>
      <c r="D30" s="6" t="s">
        <v>74</v>
      </c>
      <c r="E30" s="6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4" t="s">
        <v>93</v>
      </c>
      <c r="B31" s="4" t="s">
        <v>94</v>
      </c>
      <c r="C31" s="6" t="s">
        <v>59</v>
      </c>
      <c r="D31" s="6" t="s">
        <v>82</v>
      </c>
      <c r="E31" s="6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4" t="s">
        <v>95</v>
      </c>
      <c r="B32" s="4" t="s">
        <v>28</v>
      </c>
      <c r="C32" s="6" t="s">
        <v>77</v>
      </c>
      <c r="D32" s="6" t="s">
        <v>74</v>
      </c>
      <c r="E32" s="6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9.5" customHeight="1" x14ac:dyDescent="0.2">
      <c r="A34" s="23" t="s">
        <v>96</v>
      </c>
      <c r="B34" s="24"/>
      <c r="C34" s="24"/>
      <c r="D34" s="24"/>
      <c r="E34" s="25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8" t="s">
        <v>48</v>
      </c>
      <c r="B35" s="8" t="s">
        <v>49</v>
      </c>
      <c r="C35" s="8" t="s">
        <v>50</v>
      </c>
      <c r="D35" s="8" t="s">
        <v>51</v>
      </c>
      <c r="E35" s="8" t="s">
        <v>52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1" t="s">
        <v>60</v>
      </c>
      <c r="B36" s="11" t="s">
        <v>61</v>
      </c>
      <c r="C36" s="7" t="s">
        <v>62</v>
      </c>
      <c r="D36" s="7" t="s">
        <v>62</v>
      </c>
      <c r="E36" s="7" t="s">
        <v>63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11" t="s">
        <v>64</v>
      </c>
      <c r="B37" s="11" t="s">
        <v>61</v>
      </c>
      <c r="C37" s="7" t="s">
        <v>62</v>
      </c>
      <c r="D37" s="7" t="s">
        <v>62</v>
      </c>
      <c r="E37" s="7" t="s">
        <v>63</v>
      </c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11" t="s">
        <v>65</v>
      </c>
      <c r="B38" s="11" t="s">
        <v>61</v>
      </c>
      <c r="C38" s="7" t="s">
        <v>66</v>
      </c>
      <c r="D38" s="7" t="s">
        <v>66</v>
      </c>
      <c r="E38" s="7" t="s">
        <v>63</v>
      </c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11" t="s">
        <v>67</v>
      </c>
      <c r="B39" s="11" t="s">
        <v>61</v>
      </c>
      <c r="C39" s="7" t="s">
        <v>68</v>
      </c>
      <c r="D39" s="7" t="s">
        <v>68</v>
      </c>
      <c r="E39" s="7" t="s">
        <v>63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11" t="s">
        <v>70</v>
      </c>
      <c r="B40" s="11" t="s">
        <v>61</v>
      </c>
      <c r="C40" s="7" t="s">
        <v>71</v>
      </c>
      <c r="D40" s="7" t="s">
        <v>71</v>
      </c>
      <c r="E40" s="7" t="s">
        <v>63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4" t="s">
        <v>72</v>
      </c>
      <c r="B41" s="4" t="s">
        <v>72</v>
      </c>
      <c r="C41" s="6" t="s">
        <v>55</v>
      </c>
      <c r="D41" s="6" t="s">
        <v>74</v>
      </c>
      <c r="E41" s="6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4" t="s">
        <v>38</v>
      </c>
      <c r="B42" s="4" t="s">
        <v>97</v>
      </c>
      <c r="C42" s="6" t="s">
        <v>59</v>
      </c>
      <c r="D42" s="6" t="s">
        <v>56</v>
      </c>
      <c r="E42" s="6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4" t="s">
        <v>41</v>
      </c>
      <c r="B43" s="4" t="s">
        <v>41</v>
      </c>
      <c r="C43" s="6" t="s">
        <v>59</v>
      </c>
      <c r="D43" s="6" t="s">
        <v>56</v>
      </c>
      <c r="E43" s="6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9.5" customHeight="1" x14ac:dyDescent="0.2">
      <c r="A45" s="23" t="s">
        <v>98</v>
      </c>
      <c r="B45" s="24"/>
      <c r="C45" s="24"/>
      <c r="D45" s="24"/>
      <c r="E45" s="25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8" t="s">
        <v>48</v>
      </c>
      <c r="B46" s="8" t="s">
        <v>49</v>
      </c>
      <c r="C46" s="8" t="s">
        <v>50</v>
      </c>
      <c r="D46" s="8" t="s">
        <v>51</v>
      </c>
      <c r="E46" s="8" t="s">
        <v>52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4" t="s">
        <v>99</v>
      </c>
      <c r="B47" s="4" t="s">
        <v>86</v>
      </c>
      <c r="C47" s="6" t="s">
        <v>55</v>
      </c>
      <c r="D47" s="6" t="s">
        <v>56</v>
      </c>
      <c r="E47" s="6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4" t="s">
        <v>100</v>
      </c>
      <c r="B48" s="4" t="s">
        <v>101</v>
      </c>
      <c r="C48" s="6" t="s">
        <v>55</v>
      </c>
      <c r="D48" s="6" t="s">
        <v>56</v>
      </c>
      <c r="E48" s="6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4" t="s">
        <v>102</v>
      </c>
      <c r="B49" s="4" t="s">
        <v>54</v>
      </c>
      <c r="C49" s="6" t="s">
        <v>55</v>
      </c>
      <c r="D49" s="6" t="s">
        <v>56</v>
      </c>
      <c r="E49" s="6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4" t="s">
        <v>103</v>
      </c>
      <c r="B50" s="4" t="s">
        <v>30</v>
      </c>
      <c r="C50" s="6" t="s">
        <v>55</v>
      </c>
      <c r="D50" s="6" t="s">
        <v>74</v>
      </c>
      <c r="E50" s="6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4" t="s">
        <v>104</v>
      </c>
      <c r="B51" s="4" t="s">
        <v>30</v>
      </c>
      <c r="C51" s="6" t="s">
        <v>82</v>
      </c>
      <c r="D51" s="6" t="s">
        <v>105</v>
      </c>
      <c r="E51" s="6" t="s">
        <v>106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4" t="s">
        <v>107</v>
      </c>
      <c r="B52" s="4" t="s">
        <v>28</v>
      </c>
      <c r="C52" s="6" t="s">
        <v>55</v>
      </c>
      <c r="D52" s="6" t="s">
        <v>56</v>
      </c>
      <c r="E52" s="6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4" t="s">
        <v>108</v>
      </c>
      <c r="B53" s="4" t="s">
        <v>109</v>
      </c>
      <c r="C53" s="6" t="s">
        <v>55</v>
      </c>
      <c r="D53" s="6" t="s">
        <v>56</v>
      </c>
      <c r="E53" s="6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9.5" customHeight="1" x14ac:dyDescent="0.2">
      <c r="A55" s="23" t="s">
        <v>110</v>
      </c>
      <c r="B55" s="24"/>
      <c r="C55" s="24"/>
      <c r="D55" s="24"/>
      <c r="E55" s="25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8" t="s">
        <v>48</v>
      </c>
      <c r="B56" s="8" t="s">
        <v>49</v>
      </c>
      <c r="C56" s="8" t="s">
        <v>50</v>
      </c>
      <c r="D56" s="8" t="s">
        <v>51</v>
      </c>
      <c r="E56" s="8" t="s">
        <v>52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1" t="s">
        <v>60</v>
      </c>
      <c r="B57" s="11" t="s">
        <v>61</v>
      </c>
      <c r="C57" s="7" t="s">
        <v>62</v>
      </c>
      <c r="D57" s="7" t="s">
        <v>62</v>
      </c>
      <c r="E57" s="7" t="s">
        <v>63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11" t="s">
        <v>64</v>
      </c>
      <c r="B58" s="11" t="s">
        <v>61</v>
      </c>
      <c r="C58" s="7" t="s">
        <v>62</v>
      </c>
      <c r="D58" s="7" t="s">
        <v>62</v>
      </c>
      <c r="E58" s="7" t="s">
        <v>63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11" t="s">
        <v>70</v>
      </c>
      <c r="B59" s="11" t="s">
        <v>61</v>
      </c>
      <c r="C59" s="7" t="s">
        <v>71</v>
      </c>
      <c r="D59" s="7" t="s">
        <v>71</v>
      </c>
      <c r="E59" s="7" t="s">
        <v>63</v>
      </c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4" t="s">
        <v>32</v>
      </c>
      <c r="B60" s="4" t="s">
        <v>32</v>
      </c>
      <c r="C60" s="6" t="s">
        <v>55</v>
      </c>
      <c r="D60" s="6" t="s">
        <v>56</v>
      </c>
      <c r="E60" s="6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4" t="s">
        <v>111</v>
      </c>
      <c r="B61" s="4" t="s">
        <v>112</v>
      </c>
      <c r="C61" s="6" t="s">
        <v>112</v>
      </c>
      <c r="D61" s="6" t="s">
        <v>112</v>
      </c>
      <c r="E61" s="6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29" t="s">
        <v>113</v>
      </c>
      <c r="B62" s="24"/>
      <c r="C62" s="24"/>
      <c r="D62" s="24"/>
      <c r="E62" s="25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7:26" ht="15.75" customHeight="1" x14ac:dyDescent="0.2"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7:26" ht="15.75" customHeight="1" x14ac:dyDescent="0.2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7:26" ht="15.75" customHeight="1" x14ac:dyDescent="0.2"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7:26" ht="15.75" customHeight="1" x14ac:dyDescent="0.2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7:26" ht="15.75" customHeight="1" x14ac:dyDescent="0.2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7:26" ht="15.75" customHeight="1" x14ac:dyDescent="0.2"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7:26" ht="15.75" customHeight="1" x14ac:dyDescent="0.2"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7:26" ht="15.75" customHeight="1" x14ac:dyDescent="0.2"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7:26" ht="15.75" customHeight="1" x14ac:dyDescent="0.2"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7:26" ht="15.75" customHeight="1" x14ac:dyDescent="0.2"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7:26" ht="15.75" customHeight="1" x14ac:dyDescent="0.2"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7:26" ht="15.75" customHeight="1" x14ac:dyDescent="0.2"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7:26" ht="15.75" customHeight="1" x14ac:dyDescent="0.2"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7:26" ht="15.75" customHeight="1" x14ac:dyDescent="0.2"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7:26" ht="15.75" customHeight="1" x14ac:dyDescent="0.2"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7:26" ht="15.75" customHeight="1" x14ac:dyDescent="0.2"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7:26" ht="15.75" customHeight="1" x14ac:dyDescent="0.2"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7:26" ht="15.75" customHeight="1" x14ac:dyDescent="0.2"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7:26" ht="15.75" customHeight="1" x14ac:dyDescent="0.2"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7:26" ht="15.75" customHeight="1" x14ac:dyDescent="0.2"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7:26" ht="15.75" customHeight="1" x14ac:dyDescent="0.2"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7:26" ht="15.75" customHeight="1" x14ac:dyDescent="0.2"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7:26" ht="15.75" customHeight="1" x14ac:dyDescent="0.2"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7:26" ht="15.75" customHeight="1" x14ac:dyDescent="0.2"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7:26" ht="15.75" customHeight="1" x14ac:dyDescent="0.2"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7:26" ht="15.75" customHeight="1" x14ac:dyDescent="0.2"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7:26" ht="15.75" customHeight="1" x14ac:dyDescent="0.2"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7:26" ht="15.75" customHeight="1" x14ac:dyDescent="0.2"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7:26" ht="15.75" customHeight="1" x14ac:dyDescent="0.2"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7:26" ht="15.75" customHeight="1" x14ac:dyDescent="0.2"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7:26" ht="15.75" customHeight="1" x14ac:dyDescent="0.2"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7:26" ht="15.75" customHeight="1" x14ac:dyDescent="0.2"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7:26" ht="15.75" customHeight="1" x14ac:dyDescent="0.2"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7:26" ht="15.75" customHeight="1" x14ac:dyDescent="0.2"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7:26" ht="15.75" customHeight="1" x14ac:dyDescent="0.2"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7:26" ht="15.75" customHeight="1" x14ac:dyDescent="0.2"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7:26" ht="15.75" customHeight="1" x14ac:dyDescent="0.2"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7:26" ht="15.75" customHeight="1" x14ac:dyDescent="0.2"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7:26" ht="15.75" customHeight="1" x14ac:dyDescent="0.2"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7:26" ht="15.75" customHeight="1" x14ac:dyDescent="0.2"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7:26" ht="15.75" customHeight="1" x14ac:dyDescent="0.2"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7:26" ht="15.75" customHeight="1" x14ac:dyDescent="0.2"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7:26" ht="15.75" customHeight="1" x14ac:dyDescent="0.2"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7:26" ht="15.75" customHeight="1" x14ac:dyDescent="0.2"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7:26" ht="15.75" customHeight="1" x14ac:dyDescent="0.2"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7:26" ht="15.75" customHeight="1" x14ac:dyDescent="0.2"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7:26" ht="15.75" customHeight="1" x14ac:dyDescent="0.2"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7:26" ht="15.75" customHeight="1" x14ac:dyDescent="0.2"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7:26" ht="15.75" customHeight="1" x14ac:dyDescent="0.2"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7:26" ht="15.75" customHeight="1" x14ac:dyDescent="0.2"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7:26" ht="15.75" customHeight="1" x14ac:dyDescent="0.2"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7:26" ht="15.75" customHeight="1" x14ac:dyDescent="0.2"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7:26" ht="15.75" customHeight="1" x14ac:dyDescent="0.2"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7:26" ht="15.75" customHeight="1" x14ac:dyDescent="0.2"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7:26" ht="15.75" customHeight="1" x14ac:dyDescent="0.2"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7:26" ht="15.75" customHeight="1" x14ac:dyDescent="0.2"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7:26" ht="15.75" customHeight="1" x14ac:dyDescent="0.2"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7:26" ht="15.75" customHeight="1" x14ac:dyDescent="0.2"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7:26" ht="15.75" customHeight="1" x14ac:dyDescent="0.2"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7:26" ht="15.75" customHeight="1" x14ac:dyDescent="0.2"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7:26" ht="15.75" customHeight="1" x14ac:dyDescent="0.2"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7:26" ht="15.75" customHeight="1" x14ac:dyDescent="0.2"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7:26" ht="15.75" customHeight="1" x14ac:dyDescent="0.2"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7:26" ht="15.75" customHeight="1" x14ac:dyDescent="0.2"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7:26" ht="15.75" customHeight="1" x14ac:dyDescent="0.2"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7:26" ht="15.75" customHeight="1" x14ac:dyDescent="0.2"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7:26" ht="15.75" customHeight="1" x14ac:dyDescent="0.2"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7:26" ht="15.75" customHeight="1" x14ac:dyDescent="0.2"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7:26" ht="15.75" customHeight="1" x14ac:dyDescent="0.2"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7:26" ht="15.75" customHeight="1" x14ac:dyDescent="0.2"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7:26" ht="15.75" customHeight="1" x14ac:dyDescent="0.2"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7:26" ht="15.75" customHeight="1" x14ac:dyDescent="0.2"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7:26" ht="15.75" customHeight="1" x14ac:dyDescent="0.2"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7:26" ht="15.75" customHeight="1" x14ac:dyDescent="0.2"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7:26" ht="15.75" customHeight="1" x14ac:dyDescent="0.2"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7:26" ht="15.75" customHeight="1" x14ac:dyDescent="0.2"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7:26" ht="15.75" customHeight="1" x14ac:dyDescent="0.2"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7:26" ht="15.75" customHeight="1" x14ac:dyDescent="0.2"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7:26" ht="15.75" customHeight="1" x14ac:dyDescent="0.2"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7:26" ht="15.75" customHeight="1" x14ac:dyDescent="0.2"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7:26" ht="15.75" customHeight="1" x14ac:dyDescent="0.2"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7:26" ht="15.75" customHeight="1" x14ac:dyDescent="0.2"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7:26" ht="15.75" customHeight="1" x14ac:dyDescent="0.2"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7:26" ht="15.75" customHeight="1" x14ac:dyDescent="0.2"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7:26" ht="15.75" customHeight="1" x14ac:dyDescent="0.2"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7:26" ht="15.75" customHeight="1" x14ac:dyDescent="0.2"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7:26" ht="15.75" customHeight="1" x14ac:dyDescent="0.2"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7:26" ht="15.75" customHeight="1" x14ac:dyDescent="0.2"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7:26" ht="15.75" customHeight="1" x14ac:dyDescent="0.2"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7:26" ht="15.75" customHeight="1" x14ac:dyDescent="0.2"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7:26" ht="15.75" customHeight="1" x14ac:dyDescent="0.2"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7:26" ht="15.75" customHeight="1" x14ac:dyDescent="0.2"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7:26" ht="15.75" customHeight="1" x14ac:dyDescent="0.2"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7:26" ht="15.75" customHeight="1" x14ac:dyDescent="0.2"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7:26" ht="15.75" customHeight="1" x14ac:dyDescent="0.2"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7:26" ht="15.75" customHeight="1" x14ac:dyDescent="0.2"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7:26" ht="15.75" customHeight="1" x14ac:dyDescent="0.2"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7:26" ht="15.75" customHeight="1" x14ac:dyDescent="0.2"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7:26" ht="15.75" customHeight="1" x14ac:dyDescent="0.2"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7:26" ht="15.75" customHeight="1" x14ac:dyDescent="0.2"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7:26" ht="15.75" customHeight="1" x14ac:dyDescent="0.2"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7:26" ht="15.75" customHeight="1" x14ac:dyDescent="0.2"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7:26" ht="15.75" customHeight="1" x14ac:dyDescent="0.2"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7:26" ht="15.75" customHeight="1" x14ac:dyDescent="0.2"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7:26" ht="15.75" customHeight="1" x14ac:dyDescent="0.2"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7:26" ht="15.75" customHeight="1" x14ac:dyDescent="0.2"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7:26" ht="15.75" customHeight="1" x14ac:dyDescent="0.2"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7:26" ht="15.75" customHeight="1" x14ac:dyDescent="0.2"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7:26" ht="15.75" customHeight="1" x14ac:dyDescent="0.2"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7:26" ht="15.75" customHeight="1" x14ac:dyDescent="0.2"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7:26" ht="15.75" customHeight="1" x14ac:dyDescent="0.2"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7:26" ht="15.75" customHeight="1" x14ac:dyDescent="0.2"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7:26" ht="15.75" customHeight="1" x14ac:dyDescent="0.2"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7:26" ht="15.75" customHeight="1" x14ac:dyDescent="0.2"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7:26" ht="15.75" customHeight="1" x14ac:dyDescent="0.2"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7:26" ht="15.75" customHeight="1" x14ac:dyDescent="0.2"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7:26" ht="15.75" customHeight="1" x14ac:dyDescent="0.2"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7:26" ht="15.75" customHeight="1" x14ac:dyDescent="0.2"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7:26" ht="15.75" customHeight="1" x14ac:dyDescent="0.2"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7:26" ht="15.75" customHeight="1" x14ac:dyDescent="0.2"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7:26" ht="15.75" customHeight="1" x14ac:dyDescent="0.2"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7:26" ht="15.75" customHeight="1" x14ac:dyDescent="0.2"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7:26" ht="15.75" customHeight="1" x14ac:dyDescent="0.2"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7:26" ht="15.75" customHeight="1" x14ac:dyDescent="0.2"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7:26" ht="15.75" customHeight="1" x14ac:dyDescent="0.2"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7:26" ht="15.75" customHeight="1" x14ac:dyDescent="0.2"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7:26" ht="15.75" customHeight="1" x14ac:dyDescent="0.2"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7:26" ht="15.75" customHeight="1" x14ac:dyDescent="0.2"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7:26" ht="15.75" customHeight="1" x14ac:dyDescent="0.2"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7:26" ht="15.75" customHeight="1" x14ac:dyDescent="0.2"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7:26" ht="15.75" customHeight="1" x14ac:dyDescent="0.2"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7:26" ht="15.75" customHeight="1" x14ac:dyDescent="0.2"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7:26" ht="15.75" customHeight="1" x14ac:dyDescent="0.2"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7:26" ht="15.75" customHeight="1" x14ac:dyDescent="0.2"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7:26" ht="15.75" customHeight="1" x14ac:dyDescent="0.2"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7:26" ht="15.75" customHeight="1" x14ac:dyDescent="0.2"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7:26" ht="15.75" customHeight="1" x14ac:dyDescent="0.2"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7:26" ht="15.75" customHeight="1" x14ac:dyDescent="0.2"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7:26" ht="15.75" customHeight="1" x14ac:dyDescent="0.2"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7:26" ht="15.75" customHeight="1" x14ac:dyDescent="0.2"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7:26" ht="15.75" customHeight="1" x14ac:dyDescent="0.2"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7:26" ht="15.75" customHeight="1" x14ac:dyDescent="0.2"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7:26" ht="15.75" customHeight="1" x14ac:dyDescent="0.2"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7:26" ht="15.75" customHeight="1" x14ac:dyDescent="0.2"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7:26" ht="15.75" customHeight="1" x14ac:dyDescent="0.2"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7:26" ht="15.75" customHeight="1" x14ac:dyDescent="0.2"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7:26" ht="15.75" customHeight="1" x14ac:dyDescent="0.2"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7:26" ht="15.75" customHeight="1" x14ac:dyDescent="0.2"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7:26" ht="15.75" customHeight="1" x14ac:dyDescent="0.2"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7:26" ht="15.75" customHeight="1" x14ac:dyDescent="0.2"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7:26" ht="15.75" customHeight="1" x14ac:dyDescent="0.2"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7:26" ht="15.75" customHeight="1" x14ac:dyDescent="0.2"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7:26" ht="15.75" customHeight="1" x14ac:dyDescent="0.2"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7:26" ht="15.75" customHeight="1" x14ac:dyDescent="0.2"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7:26" ht="15.75" customHeight="1" x14ac:dyDescent="0.2"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7:26" ht="15.75" customHeight="1" x14ac:dyDescent="0.2"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7:26" ht="15.75" customHeight="1" x14ac:dyDescent="0.2"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7:26" ht="15.75" customHeight="1" x14ac:dyDescent="0.2"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7:26" ht="15.75" customHeight="1" x14ac:dyDescent="0.2"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7:26" ht="15.75" customHeight="1" x14ac:dyDescent="0.2"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7:26" ht="15.75" customHeight="1" x14ac:dyDescent="0.2"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7:26" ht="15.75" customHeight="1" x14ac:dyDescent="0.2"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7:26" ht="15.75" customHeight="1" x14ac:dyDescent="0.2"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7:26" ht="15.75" customHeight="1" x14ac:dyDescent="0.2"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7:26" ht="15.75" customHeight="1" x14ac:dyDescent="0.2"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7:26" ht="15.75" customHeight="1" x14ac:dyDescent="0.2"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7:26" ht="15.75" customHeight="1" x14ac:dyDescent="0.2"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7:26" ht="15.75" customHeight="1" x14ac:dyDescent="0.2"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7:26" ht="15.75" customHeight="1" x14ac:dyDescent="0.2"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7:26" ht="15.75" customHeight="1" x14ac:dyDescent="0.2"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7:26" ht="15.75" customHeight="1" x14ac:dyDescent="0.2"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7:26" ht="15.75" customHeight="1" x14ac:dyDescent="0.2"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7:26" ht="15.75" customHeight="1" x14ac:dyDescent="0.2"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7:26" ht="15.75" customHeight="1" x14ac:dyDescent="0.2"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7:26" ht="15.75" customHeight="1" x14ac:dyDescent="0.2"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7:26" ht="15.75" customHeight="1" x14ac:dyDescent="0.2"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7:26" ht="15.75" customHeight="1" x14ac:dyDescent="0.2"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7:26" ht="15.75" customHeight="1" x14ac:dyDescent="0.2"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7:26" ht="15.75" customHeight="1" x14ac:dyDescent="0.2"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7:26" ht="15.75" customHeight="1" x14ac:dyDescent="0.2"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7:26" ht="15.75" customHeight="1" x14ac:dyDescent="0.2"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7:26" ht="15.75" customHeight="1" x14ac:dyDescent="0.2"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7:26" ht="15.75" customHeight="1" x14ac:dyDescent="0.2"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7:26" ht="15.75" customHeight="1" x14ac:dyDescent="0.2"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7:26" ht="15.75" customHeight="1" x14ac:dyDescent="0.2"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7:26" ht="15.75" customHeight="1" x14ac:dyDescent="0.2"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7:26" ht="15.75" customHeight="1" x14ac:dyDescent="0.2"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7:26" ht="15.75" customHeight="1" x14ac:dyDescent="0.2"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7:26" ht="15.75" customHeight="1" x14ac:dyDescent="0.2"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7:26" ht="15.75" customHeight="1" x14ac:dyDescent="0.2"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7:26" ht="15.75" customHeight="1" x14ac:dyDescent="0.2"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7:26" ht="15.75" customHeight="1" x14ac:dyDescent="0.2"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7:26" ht="15.75" customHeight="1" x14ac:dyDescent="0.2"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7:26" ht="15.75" customHeight="1" x14ac:dyDescent="0.2"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7:26" ht="15.75" customHeight="1" x14ac:dyDescent="0.2"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7:26" ht="15.75" customHeight="1" x14ac:dyDescent="0.2"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7:26" ht="15.75" customHeight="1" x14ac:dyDescent="0.2"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7:26" ht="15.75" customHeight="1" x14ac:dyDescent="0.2"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7:26" ht="15.75" customHeight="1" x14ac:dyDescent="0.2"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7:26" ht="15.75" customHeight="1" x14ac:dyDescent="0.2"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7:26" ht="15.75" customHeight="1" x14ac:dyDescent="0.2"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7:26" ht="15.75" customHeight="1" x14ac:dyDescent="0.2"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7:26" ht="15.75" customHeight="1" x14ac:dyDescent="0.2"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7:26" ht="15.75" customHeight="1" x14ac:dyDescent="0.2"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7:26" ht="15.75" customHeight="1" x14ac:dyDescent="0.2"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7:26" ht="15.75" customHeight="1" x14ac:dyDescent="0.2"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7:26" ht="15.75" customHeight="1" x14ac:dyDescent="0.2"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7:26" ht="15.75" customHeight="1" x14ac:dyDescent="0.2"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7:26" ht="15.75" customHeight="1" x14ac:dyDescent="0.2"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7:26" ht="15.75" customHeight="1" x14ac:dyDescent="0.2"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7:26" ht="15.75" customHeight="1" x14ac:dyDescent="0.2"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7:26" ht="15.75" customHeight="1" x14ac:dyDescent="0.2"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7:26" ht="15.75" customHeight="1" x14ac:dyDescent="0.2"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7:26" ht="15.75" customHeight="1" x14ac:dyDescent="0.2"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7:26" ht="15.75" customHeight="1" x14ac:dyDescent="0.2"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7:26" ht="15.75" customHeight="1" x14ac:dyDescent="0.2"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7:26" ht="15.75" customHeight="1" x14ac:dyDescent="0.2"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7:26" ht="15.75" customHeight="1" x14ac:dyDescent="0.2"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7:26" ht="15.75" customHeight="1" x14ac:dyDescent="0.2"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7:26" ht="15.75" customHeight="1" x14ac:dyDescent="0.2"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7:26" ht="15.75" customHeight="1" x14ac:dyDescent="0.2"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7:26" ht="15.75" customHeight="1" x14ac:dyDescent="0.2"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7:26" ht="15.75" customHeight="1" x14ac:dyDescent="0.2"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7:26" ht="15.75" customHeight="1" x14ac:dyDescent="0.2"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7:26" ht="15.75" customHeight="1" x14ac:dyDescent="0.2"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7:26" ht="15.75" customHeight="1" x14ac:dyDescent="0.2"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7:26" ht="15.75" customHeight="1" x14ac:dyDescent="0.2"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7:26" ht="15.75" customHeight="1" x14ac:dyDescent="0.2"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7:26" ht="15.75" customHeight="1" x14ac:dyDescent="0.2"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7:26" ht="15.75" customHeight="1" x14ac:dyDescent="0.2"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7:26" ht="15.75" customHeight="1" x14ac:dyDescent="0.2"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7:26" ht="15.75" customHeight="1" x14ac:dyDescent="0.2"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7:26" ht="15.75" customHeight="1" x14ac:dyDescent="0.2"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7:26" ht="15.75" customHeight="1" x14ac:dyDescent="0.2"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7:26" ht="15.75" customHeight="1" x14ac:dyDescent="0.2"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7:26" ht="15.75" customHeight="1" x14ac:dyDescent="0.2"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7:26" ht="15.75" customHeight="1" x14ac:dyDescent="0.2"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7:26" ht="15.75" customHeight="1" x14ac:dyDescent="0.2"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7:26" ht="15.75" customHeight="1" x14ac:dyDescent="0.2"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7:26" ht="15.75" customHeight="1" x14ac:dyDescent="0.2"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7:26" ht="15.75" customHeight="1" x14ac:dyDescent="0.2"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7:26" ht="15.75" customHeight="1" x14ac:dyDescent="0.2"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7:26" ht="15.75" customHeight="1" x14ac:dyDescent="0.2"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7:26" ht="15.75" customHeight="1" x14ac:dyDescent="0.2"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7:26" ht="15.75" customHeight="1" x14ac:dyDescent="0.2"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7:26" ht="15.75" customHeight="1" x14ac:dyDescent="0.2"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7:26" ht="15.75" customHeight="1" x14ac:dyDescent="0.2"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7:26" ht="15.75" customHeight="1" x14ac:dyDescent="0.2"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7:26" ht="15.75" customHeight="1" x14ac:dyDescent="0.2"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7:26" ht="15.75" customHeight="1" x14ac:dyDescent="0.2"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7:26" ht="15.75" customHeight="1" x14ac:dyDescent="0.2"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7:26" ht="15.75" customHeight="1" x14ac:dyDescent="0.2"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7:26" ht="15.75" customHeight="1" x14ac:dyDescent="0.2"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7:26" ht="15.75" customHeight="1" x14ac:dyDescent="0.2"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7:26" ht="15.75" customHeight="1" x14ac:dyDescent="0.2"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7:26" ht="15.75" customHeight="1" x14ac:dyDescent="0.2"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7:26" ht="15.75" customHeight="1" x14ac:dyDescent="0.2"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7:26" ht="15.75" customHeight="1" x14ac:dyDescent="0.2"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7:26" ht="15.75" customHeight="1" x14ac:dyDescent="0.2"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7:26" ht="15.75" customHeight="1" x14ac:dyDescent="0.2"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7:26" ht="15.75" customHeight="1" x14ac:dyDescent="0.2"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7:26" ht="15.75" customHeight="1" x14ac:dyDescent="0.2"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7:26" ht="15.75" customHeight="1" x14ac:dyDescent="0.2"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7:26" ht="15.75" customHeight="1" x14ac:dyDescent="0.2"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7:26" ht="15.75" customHeight="1" x14ac:dyDescent="0.2"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7:26" ht="15.75" customHeight="1" x14ac:dyDescent="0.2"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7:26" ht="15.75" customHeight="1" x14ac:dyDescent="0.2"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7:26" ht="15.75" customHeight="1" x14ac:dyDescent="0.2"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7:26" ht="15.75" customHeight="1" x14ac:dyDescent="0.2"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7:26" ht="15.75" customHeight="1" x14ac:dyDescent="0.2"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7:26" ht="15.75" customHeight="1" x14ac:dyDescent="0.2"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7:26" ht="15.75" customHeight="1" x14ac:dyDescent="0.2"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7:26" ht="15.75" customHeight="1" x14ac:dyDescent="0.2"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7:26" ht="15.75" customHeight="1" x14ac:dyDescent="0.2"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7:26" ht="15.75" customHeight="1" x14ac:dyDescent="0.2"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7:26" ht="15.75" customHeight="1" x14ac:dyDescent="0.2"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7:26" ht="15.75" customHeight="1" x14ac:dyDescent="0.2"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7:26" ht="15.75" customHeight="1" x14ac:dyDescent="0.2"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7:26" ht="15.75" customHeight="1" x14ac:dyDescent="0.2"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7:26" ht="15.75" customHeight="1" x14ac:dyDescent="0.2"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7:26" ht="15.75" customHeight="1" x14ac:dyDescent="0.2"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7:26" ht="15.75" customHeight="1" x14ac:dyDescent="0.2"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7:26" ht="15.75" customHeight="1" x14ac:dyDescent="0.2"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7:26" ht="15.75" customHeight="1" x14ac:dyDescent="0.2"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7:26" ht="15.75" customHeight="1" x14ac:dyDescent="0.2"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7:26" ht="15.75" customHeight="1" x14ac:dyDescent="0.2"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7:26" ht="15.75" customHeight="1" x14ac:dyDescent="0.2"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7:26" ht="15.75" customHeight="1" x14ac:dyDescent="0.2"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7:26" ht="15.75" customHeight="1" x14ac:dyDescent="0.2"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7:26" ht="15.75" customHeight="1" x14ac:dyDescent="0.2"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7:26" ht="15.75" customHeight="1" x14ac:dyDescent="0.2"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7:26" ht="15.75" customHeight="1" x14ac:dyDescent="0.2"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7:26" ht="15.75" customHeight="1" x14ac:dyDescent="0.2"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7:26" ht="15.75" customHeight="1" x14ac:dyDescent="0.2"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7:26" ht="15.75" customHeight="1" x14ac:dyDescent="0.2"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7:26" ht="15.75" customHeight="1" x14ac:dyDescent="0.2"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7:26" ht="15.75" customHeight="1" x14ac:dyDescent="0.2"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7:26" ht="15.75" customHeight="1" x14ac:dyDescent="0.2"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7:26" ht="15.75" customHeight="1" x14ac:dyDescent="0.2"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7:26" ht="15.75" customHeight="1" x14ac:dyDescent="0.2"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7:26" ht="15.75" customHeight="1" x14ac:dyDescent="0.2"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7:26" ht="15.75" customHeight="1" x14ac:dyDescent="0.2"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7:26" ht="15.75" customHeight="1" x14ac:dyDescent="0.2"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7:26" ht="15.75" customHeight="1" x14ac:dyDescent="0.2"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7:26" ht="15.75" customHeight="1" x14ac:dyDescent="0.2"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7:26" ht="15.75" customHeight="1" x14ac:dyDescent="0.2"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7:26" ht="15.75" customHeight="1" x14ac:dyDescent="0.2"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7:26" ht="15.75" customHeight="1" x14ac:dyDescent="0.2"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7:26" ht="15.75" customHeight="1" x14ac:dyDescent="0.2"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7:26" ht="15.75" customHeight="1" x14ac:dyDescent="0.2"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7:26" ht="15.75" customHeight="1" x14ac:dyDescent="0.2"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7:26" ht="15.75" customHeight="1" x14ac:dyDescent="0.2"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7:26" ht="15.75" customHeight="1" x14ac:dyDescent="0.2"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7:26" ht="15.75" customHeight="1" x14ac:dyDescent="0.2"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7:26" ht="15.75" customHeight="1" x14ac:dyDescent="0.2"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7:26" ht="15.75" customHeight="1" x14ac:dyDescent="0.2"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7:26" ht="15.75" customHeight="1" x14ac:dyDescent="0.2"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7:26" ht="15.75" customHeight="1" x14ac:dyDescent="0.2"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7:26" ht="15.75" customHeight="1" x14ac:dyDescent="0.2"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7:26" ht="15.75" customHeight="1" x14ac:dyDescent="0.2"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7:26" ht="15.75" customHeight="1" x14ac:dyDescent="0.2"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7:26" ht="15.75" customHeight="1" x14ac:dyDescent="0.2"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7:26" ht="15.75" customHeight="1" x14ac:dyDescent="0.2"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7:26" ht="15.75" customHeight="1" x14ac:dyDescent="0.2"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7:26" ht="15.75" customHeight="1" x14ac:dyDescent="0.2"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7:26" ht="15.75" customHeight="1" x14ac:dyDescent="0.2"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7:26" ht="15.75" customHeight="1" x14ac:dyDescent="0.2"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7:26" ht="15.75" customHeight="1" x14ac:dyDescent="0.2"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7:26" ht="15.75" customHeight="1" x14ac:dyDescent="0.2"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7:26" ht="15.75" customHeight="1" x14ac:dyDescent="0.2"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7:26" ht="15.75" customHeight="1" x14ac:dyDescent="0.2"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7:26" ht="15.75" customHeight="1" x14ac:dyDescent="0.2"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7:26" ht="15.75" customHeight="1" x14ac:dyDescent="0.2"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7:26" ht="15.75" customHeight="1" x14ac:dyDescent="0.2"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7:26" ht="15.75" customHeight="1" x14ac:dyDescent="0.2"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7:26" ht="15.75" customHeight="1" x14ac:dyDescent="0.2"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7:26" ht="15.75" customHeight="1" x14ac:dyDescent="0.2"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7:26" ht="15.75" customHeight="1" x14ac:dyDescent="0.2"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7:26" ht="15.75" customHeight="1" x14ac:dyDescent="0.2"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7:26" ht="15.75" customHeight="1" x14ac:dyDescent="0.2"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7:26" ht="15.75" customHeight="1" x14ac:dyDescent="0.2"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7:26" ht="15.75" customHeight="1" x14ac:dyDescent="0.2"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7:26" ht="15.75" customHeight="1" x14ac:dyDescent="0.2"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7:26" ht="15.75" customHeight="1" x14ac:dyDescent="0.2"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7:26" ht="15.75" customHeight="1" x14ac:dyDescent="0.2"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7:26" ht="15.75" customHeight="1" x14ac:dyDescent="0.2"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7:26" ht="15.75" customHeight="1" x14ac:dyDescent="0.2"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7:26" ht="15.75" customHeight="1" x14ac:dyDescent="0.2"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7:26" ht="15.75" customHeight="1" x14ac:dyDescent="0.2"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7:26" ht="15.75" customHeight="1" x14ac:dyDescent="0.2"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7:26" ht="15.75" customHeight="1" x14ac:dyDescent="0.2"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7:26" ht="15.75" customHeight="1" x14ac:dyDescent="0.2"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7:26" ht="15.75" customHeight="1" x14ac:dyDescent="0.2"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7:26" ht="15.75" customHeight="1" x14ac:dyDescent="0.2"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7:26" ht="15.75" customHeight="1" x14ac:dyDescent="0.2"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7:26" ht="15.75" customHeight="1" x14ac:dyDescent="0.2"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7:26" ht="15.75" customHeight="1" x14ac:dyDescent="0.2"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7:26" ht="15.75" customHeight="1" x14ac:dyDescent="0.2"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7:26" ht="15.75" customHeight="1" x14ac:dyDescent="0.2"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7:26" ht="15.75" customHeight="1" x14ac:dyDescent="0.2"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7:26" ht="15.75" customHeight="1" x14ac:dyDescent="0.2"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7:26" ht="15.75" customHeight="1" x14ac:dyDescent="0.2"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7:26" ht="15.75" customHeight="1" x14ac:dyDescent="0.2"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7:26" ht="15.75" customHeight="1" x14ac:dyDescent="0.2"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7:26" ht="15.75" customHeight="1" x14ac:dyDescent="0.2"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7:26" ht="15.75" customHeight="1" x14ac:dyDescent="0.2"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7:26" ht="15.75" customHeight="1" x14ac:dyDescent="0.2"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7:26" ht="15.75" customHeight="1" x14ac:dyDescent="0.2"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7:26" ht="15.75" customHeight="1" x14ac:dyDescent="0.2"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7:26" ht="15.75" customHeight="1" x14ac:dyDescent="0.2"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7:26" ht="15.75" customHeight="1" x14ac:dyDescent="0.2"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7:26" ht="15.75" customHeight="1" x14ac:dyDescent="0.2"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7:26" ht="15.75" customHeight="1" x14ac:dyDescent="0.2"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7:26" ht="15.75" customHeight="1" x14ac:dyDescent="0.2"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7:26" ht="15.75" customHeight="1" x14ac:dyDescent="0.2"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7:26" ht="15.75" customHeight="1" x14ac:dyDescent="0.2"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7:26" ht="15.75" customHeight="1" x14ac:dyDescent="0.2"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7:26" ht="15.75" customHeight="1" x14ac:dyDescent="0.2"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7:26" ht="15.75" customHeight="1" x14ac:dyDescent="0.2"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7:26" ht="15.75" customHeight="1" x14ac:dyDescent="0.2"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7:26" ht="15.75" customHeight="1" x14ac:dyDescent="0.2"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7:26" ht="15.75" customHeight="1" x14ac:dyDescent="0.2"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7:26" ht="15.75" customHeight="1" x14ac:dyDescent="0.2"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7:26" ht="15.75" customHeight="1" x14ac:dyDescent="0.2"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7:26" ht="15.75" customHeight="1" x14ac:dyDescent="0.2"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7:26" ht="15.75" customHeight="1" x14ac:dyDescent="0.2"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7:26" ht="15.75" customHeight="1" x14ac:dyDescent="0.2"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7:26" ht="15.75" customHeight="1" x14ac:dyDescent="0.2"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7:26" ht="15.75" customHeight="1" x14ac:dyDescent="0.2"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7:26" ht="15.75" customHeight="1" x14ac:dyDescent="0.2"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7:26" ht="15.75" customHeight="1" x14ac:dyDescent="0.2"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7:26" ht="15.75" customHeight="1" x14ac:dyDescent="0.2"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7:26" ht="15.75" customHeight="1" x14ac:dyDescent="0.2"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7:26" ht="15.75" customHeight="1" x14ac:dyDescent="0.2"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7:26" ht="15.75" customHeight="1" x14ac:dyDescent="0.2"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7:26" ht="15.75" customHeight="1" x14ac:dyDescent="0.2"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7:26" ht="15.75" customHeight="1" x14ac:dyDescent="0.2"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7:26" ht="15.75" customHeight="1" x14ac:dyDescent="0.2"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7:26" ht="15.75" customHeight="1" x14ac:dyDescent="0.2"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7:26" ht="15.75" customHeight="1" x14ac:dyDescent="0.2"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7:26" ht="15.75" customHeight="1" x14ac:dyDescent="0.2"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7:26" ht="15.75" customHeight="1" x14ac:dyDescent="0.2"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7:26" ht="15.75" customHeight="1" x14ac:dyDescent="0.2"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7:26" ht="15.75" customHeight="1" x14ac:dyDescent="0.2"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7:26" ht="15.75" customHeight="1" x14ac:dyDescent="0.2"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7:26" ht="15.75" customHeight="1" x14ac:dyDescent="0.2"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7:26" ht="15.75" customHeight="1" x14ac:dyDescent="0.2"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7:26" ht="15.75" customHeight="1" x14ac:dyDescent="0.2"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7:26" ht="15.75" customHeight="1" x14ac:dyDescent="0.2"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7:26" ht="15.75" customHeight="1" x14ac:dyDescent="0.2"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7:26" ht="15.75" customHeight="1" x14ac:dyDescent="0.2"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7:26" ht="15.75" customHeight="1" x14ac:dyDescent="0.2"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7:26" ht="15.75" customHeight="1" x14ac:dyDescent="0.2"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7:26" ht="15.75" customHeight="1" x14ac:dyDescent="0.2"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7:26" ht="15.75" customHeight="1" x14ac:dyDescent="0.2"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7:26" ht="15.75" customHeight="1" x14ac:dyDescent="0.2"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7:26" ht="15.75" customHeight="1" x14ac:dyDescent="0.2"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7:26" ht="15.75" customHeight="1" x14ac:dyDescent="0.2"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7:26" ht="15.75" customHeight="1" x14ac:dyDescent="0.2"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7:26" ht="15.75" customHeight="1" x14ac:dyDescent="0.2"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7:26" ht="15.75" customHeight="1" x14ac:dyDescent="0.2"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7:26" ht="15.75" customHeight="1" x14ac:dyDescent="0.2"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7:26" ht="15.75" customHeight="1" x14ac:dyDescent="0.2"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7:26" ht="15.75" customHeight="1" x14ac:dyDescent="0.2"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7:26" ht="15.75" customHeight="1" x14ac:dyDescent="0.2"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7:26" ht="15.75" customHeight="1" x14ac:dyDescent="0.2"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7:26" ht="15.75" customHeight="1" x14ac:dyDescent="0.2"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7:26" ht="15.75" customHeight="1" x14ac:dyDescent="0.2"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7:26" ht="15.75" customHeight="1" x14ac:dyDescent="0.2"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7:26" ht="15.75" customHeight="1" x14ac:dyDescent="0.2"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7:26" ht="15.75" customHeight="1" x14ac:dyDescent="0.2"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7:26" ht="15.75" customHeight="1" x14ac:dyDescent="0.2"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7:26" ht="15.75" customHeight="1" x14ac:dyDescent="0.2"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7:26" ht="15.75" customHeight="1" x14ac:dyDescent="0.2"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7:26" ht="15.75" customHeight="1" x14ac:dyDescent="0.2"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7:26" ht="15.75" customHeight="1" x14ac:dyDescent="0.2"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7:26" ht="15.75" customHeight="1" x14ac:dyDescent="0.2"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7:26" ht="15.75" customHeight="1" x14ac:dyDescent="0.2"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7:26" ht="15.75" customHeight="1" x14ac:dyDescent="0.2"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7:26" ht="15.75" customHeight="1" x14ac:dyDescent="0.2"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7:26" ht="15.75" customHeight="1" x14ac:dyDescent="0.2"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7:26" ht="15.75" customHeight="1" x14ac:dyDescent="0.2"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7:26" ht="15.75" customHeight="1" x14ac:dyDescent="0.2"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7:26" ht="15.75" customHeight="1" x14ac:dyDescent="0.2"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7:26" ht="15.75" customHeight="1" x14ac:dyDescent="0.2"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7:26" ht="15.75" customHeight="1" x14ac:dyDescent="0.2"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7:26" ht="15.75" customHeight="1" x14ac:dyDescent="0.2"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7:26" ht="15.75" customHeight="1" x14ac:dyDescent="0.2"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7:26" ht="15.75" customHeight="1" x14ac:dyDescent="0.2"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7:26" ht="15.75" customHeight="1" x14ac:dyDescent="0.2"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7:26" ht="15.75" customHeight="1" x14ac:dyDescent="0.2"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7:26" ht="15.75" customHeight="1" x14ac:dyDescent="0.2"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7:26" ht="15.75" customHeight="1" x14ac:dyDescent="0.2"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7:26" ht="15.75" customHeight="1" x14ac:dyDescent="0.2"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7:26" ht="15.75" customHeight="1" x14ac:dyDescent="0.2"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7:26" ht="15.75" customHeight="1" x14ac:dyDescent="0.2"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7:26" ht="15.75" customHeight="1" x14ac:dyDescent="0.2"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7:26" ht="15.75" customHeight="1" x14ac:dyDescent="0.2"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7:26" ht="15.75" customHeight="1" x14ac:dyDescent="0.2"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7:26" ht="15.75" customHeight="1" x14ac:dyDescent="0.2"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7:26" ht="15.75" customHeight="1" x14ac:dyDescent="0.2"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7:26" ht="15.75" customHeight="1" x14ac:dyDescent="0.2"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7:26" ht="15.75" customHeight="1" x14ac:dyDescent="0.2"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7:26" ht="15.75" customHeight="1" x14ac:dyDescent="0.2"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7:26" ht="15.75" customHeight="1" x14ac:dyDescent="0.2"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7:26" ht="15.75" customHeight="1" x14ac:dyDescent="0.2"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7:26" ht="15.75" customHeight="1" x14ac:dyDescent="0.2"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7:26" ht="15.75" customHeight="1" x14ac:dyDescent="0.2"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7:26" ht="15.75" customHeight="1" x14ac:dyDescent="0.2"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7:26" ht="15.75" customHeight="1" x14ac:dyDescent="0.2"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7:26" ht="15.75" customHeight="1" x14ac:dyDescent="0.2"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7:26" ht="15.75" customHeight="1" x14ac:dyDescent="0.2"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7:26" ht="15.75" customHeight="1" x14ac:dyDescent="0.2"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7:26" ht="15.75" customHeight="1" x14ac:dyDescent="0.2"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7:26" ht="15.75" customHeight="1" x14ac:dyDescent="0.2"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7:26" ht="15.75" customHeight="1" x14ac:dyDescent="0.2"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7:26" ht="15.75" customHeight="1" x14ac:dyDescent="0.2"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7:26" ht="15.75" customHeight="1" x14ac:dyDescent="0.2"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7:26" ht="15.75" customHeight="1" x14ac:dyDescent="0.2"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7:26" ht="15.75" customHeight="1" x14ac:dyDescent="0.2"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7:26" ht="15.75" customHeight="1" x14ac:dyDescent="0.2"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7:26" ht="15.75" customHeight="1" x14ac:dyDescent="0.2"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7:26" ht="15.75" customHeight="1" x14ac:dyDescent="0.2"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7:26" ht="15.75" customHeight="1" x14ac:dyDescent="0.2"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7:26" ht="15.75" customHeight="1" x14ac:dyDescent="0.2"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7:26" ht="15.75" customHeight="1" x14ac:dyDescent="0.2"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7:26" ht="15.75" customHeight="1" x14ac:dyDescent="0.2"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7:26" ht="15.75" customHeight="1" x14ac:dyDescent="0.2"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7:26" ht="15.75" customHeight="1" x14ac:dyDescent="0.2"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7:26" ht="15.75" customHeight="1" x14ac:dyDescent="0.2"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7:26" ht="15.75" customHeight="1" x14ac:dyDescent="0.2"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7:26" ht="15.75" customHeight="1" x14ac:dyDescent="0.2"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7:26" ht="15.75" customHeight="1" x14ac:dyDescent="0.2"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7:26" ht="15.75" customHeight="1" x14ac:dyDescent="0.2"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7:26" ht="15.75" customHeight="1" x14ac:dyDescent="0.2"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7:26" ht="15.75" customHeight="1" x14ac:dyDescent="0.2"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7:26" ht="15.75" customHeight="1" x14ac:dyDescent="0.2"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7:26" ht="15.75" customHeight="1" x14ac:dyDescent="0.2"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7:26" ht="15.75" customHeight="1" x14ac:dyDescent="0.2"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7:26" ht="15.75" customHeight="1" x14ac:dyDescent="0.2"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7:26" ht="15.75" customHeight="1" x14ac:dyDescent="0.2"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7:26" ht="15.75" customHeight="1" x14ac:dyDescent="0.2"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7:26" ht="15.75" customHeight="1" x14ac:dyDescent="0.2"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7:26" ht="15.75" customHeight="1" x14ac:dyDescent="0.2"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7:26" ht="15.75" customHeight="1" x14ac:dyDescent="0.2"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7:26" ht="15.75" customHeight="1" x14ac:dyDescent="0.2"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7:26" ht="15.75" customHeight="1" x14ac:dyDescent="0.2"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7:26" ht="15.75" customHeight="1" x14ac:dyDescent="0.2"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7:26" ht="15.75" customHeight="1" x14ac:dyDescent="0.2"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7:26" ht="15.75" customHeight="1" x14ac:dyDescent="0.2"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7:26" ht="15.75" customHeight="1" x14ac:dyDescent="0.2"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7:26" ht="15.75" customHeight="1" x14ac:dyDescent="0.2"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7:26" ht="15.75" customHeight="1" x14ac:dyDescent="0.2"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7:26" ht="15.75" customHeight="1" x14ac:dyDescent="0.2"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7:26" ht="15.75" customHeight="1" x14ac:dyDescent="0.2"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7:26" ht="15.75" customHeight="1" x14ac:dyDescent="0.2"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7:26" ht="15.75" customHeight="1" x14ac:dyDescent="0.2"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7:26" ht="15.75" customHeight="1" x14ac:dyDescent="0.2"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7:26" ht="15.75" customHeight="1" x14ac:dyDescent="0.2"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7:26" ht="15.75" customHeight="1" x14ac:dyDescent="0.2"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7:26" ht="15.75" customHeight="1" x14ac:dyDescent="0.2"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7:26" ht="15.75" customHeight="1" x14ac:dyDescent="0.2"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7:26" ht="15.75" customHeight="1" x14ac:dyDescent="0.2"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7:26" ht="15.75" customHeight="1" x14ac:dyDescent="0.2"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7:26" ht="15.75" customHeight="1" x14ac:dyDescent="0.2"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7:26" ht="15.75" customHeight="1" x14ac:dyDescent="0.2"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7:26" ht="15.75" customHeight="1" x14ac:dyDescent="0.2"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7:26" ht="15.75" customHeight="1" x14ac:dyDescent="0.2"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7:26" ht="15.75" customHeight="1" x14ac:dyDescent="0.2"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7:26" ht="15.75" customHeight="1" x14ac:dyDescent="0.2"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7:26" ht="15.75" customHeight="1" x14ac:dyDescent="0.2"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7:26" ht="15.75" customHeight="1" x14ac:dyDescent="0.2"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7:26" ht="15.75" customHeight="1" x14ac:dyDescent="0.2"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7:26" ht="15.75" customHeight="1" x14ac:dyDescent="0.2"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7:26" ht="15.75" customHeight="1" x14ac:dyDescent="0.2"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7:26" ht="15.75" customHeight="1" x14ac:dyDescent="0.2"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7:26" ht="15.75" customHeight="1" x14ac:dyDescent="0.2"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7:26" ht="15.75" customHeight="1" x14ac:dyDescent="0.2"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7:26" ht="15.75" customHeight="1" x14ac:dyDescent="0.2"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7:26" ht="15.75" customHeight="1" x14ac:dyDescent="0.2"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7:26" ht="15.75" customHeight="1" x14ac:dyDescent="0.2"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7:26" ht="15.75" customHeight="1" x14ac:dyDescent="0.2"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7:26" ht="15.75" customHeight="1" x14ac:dyDescent="0.2"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7:26" ht="15.75" customHeight="1" x14ac:dyDescent="0.2"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7:26" ht="15.75" customHeight="1" x14ac:dyDescent="0.2"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7:26" ht="15.75" customHeight="1" x14ac:dyDescent="0.2"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7:26" ht="15.75" customHeight="1" x14ac:dyDescent="0.2"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7:26" ht="15.75" customHeight="1" x14ac:dyDescent="0.2"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7:26" ht="15.75" customHeight="1" x14ac:dyDescent="0.2"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7:26" ht="15.75" customHeight="1" x14ac:dyDescent="0.2"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7:26" ht="15.75" customHeight="1" x14ac:dyDescent="0.2"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7:26" ht="15.75" customHeight="1" x14ac:dyDescent="0.2"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7:26" ht="15.75" customHeight="1" x14ac:dyDescent="0.2"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7:26" ht="15.75" customHeight="1" x14ac:dyDescent="0.2"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7:26" ht="15.75" customHeight="1" x14ac:dyDescent="0.2"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7:26" ht="15.75" customHeight="1" x14ac:dyDescent="0.2"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7:26" ht="15.75" customHeight="1" x14ac:dyDescent="0.2"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7:26" ht="15.75" customHeight="1" x14ac:dyDescent="0.2"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7:26" ht="15.75" customHeight="1" x14ac:dyDescent="0.2"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7:26" ht="15.75" customHeight="1" x14ac:dyDescent="0.2"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7:26" ht="15.75" customHeight="1" x14ac:dyDescent="0.2"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7:26" ht="15.75" customHeight="1" x14ac:dyDescent="0.2"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7:26" ht="15.75" customHeight="1" x14ac:dyDescent="0.2"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7:26" ht="15.75" customHeight="1" x14ac:dyDescent="0.2"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7:26" ht="15.75" customHeight="1" x14ac:dyDescent="0.2"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7:26" ht="15.75" customHeight="1" x14ac:dyDescent="0.2"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7:26" ht="15.75" customHeight="1" x14ac:dyDescent="0.2"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7:26" ht="15.75" customHeight="1" x14ac:dyDescent="0.2"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7:26" ht="15.75" customHeight="1" x14ac:dyDescent="0.2"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7:26" ht="15.75" customHeight="1" x14ac:dyDescent="0.2"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7:26" ht="15.75" customHeight="1" x14ac:dyDescent="0.2"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7:26" ht="15.75" customHeight="1" x14ac:dyDescent="0.2"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7:26" ht="15.75" customHeight="1" x14ac:dyDescent="0.2"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7:26" ht="15.75" customHeight="1" x14ac:dyDescent="0.2"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7:26" ht="15.75" customHeight="1" x14ac:dyDescent="0.2"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7:26" ht="15.75" customHeight="1" x14ac:dyDescent="0.2"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7:26" ht="15.75" customHeight="1" x14ac:dyDescent="0.2"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7:26" ht="15.75" customHeight="1" x14ac:dyDescent="0.2"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7:26" ht="15.75" customHeight="1" x14ac:dyDescent="0.2"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7:26" ht="15.75" customHeight="1" x14ac:dyDescent="0.2"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7:26" ht="15.75" customHeight="1" x14ac:dyDescent="0.2"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7:26" ht="15.75" customHeight="1" x14ac:dyDescent="0.2"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7:26" ht="15.75" customHeight="1" x14ac:dyDescent="0.2"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7:26" ht="15.75" customHeight="1" x14ac:dyDescent="0.2"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7:26" ht="15.75" customHeight="1" x14ac:dyDescent="0.2"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7:26" ht="15.75" customHeight="1" x14ac:dyDescent="0.2"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7:26" ht="15.75" customHeight="1" x14ac:dyDescent="0.2"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7:26" ht="15.75" customHeight="1" x14ac:dyDescent="0.2"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7:26" ht="15.75" customHeight="1" x14ac:dyDescent="0.2"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7:26" ht="15.75" customHeight="1" x14ac:dyDescent="0.2"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7:26" ht="15.75" customHeight="1" x14ac:dyDescent="0.2"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7:26" ht="15.75" customHeight="1" x14ac:dyDescent="0.2"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7:26" ht="15.75" customHeight="1" x14ac:dyDescent="0.2"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7:26" ht="15.75" customHeight="1" x14ac:dyDescent="0.2"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7:26" ht="15.75" customHeight="1" x14ac:dyDescent="0.2"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7:26" ht="15.75" customHeight="1" x14ac:dyDescent="0.2"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7:26" ht="15.75" customHeight="1" x14ac:dyDescent="0.2"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7:26" ht="15.75" customHeight="1" x14ac:dyDescent="0.2"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7:26" ht="15.75" customHeight="1" x14ac:dyDescent="0.2"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7:26" ht="15.75" customHeight="1" x14ac:dyDescent="0.2"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7:26" ht="15.75" customHeight="1" x14ac:dyDescent="0.2"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7:26" ht="15.75" customHeight="1" x14ac:dyDescent="0.2"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7:26" ht="15.75" customHeight="1" x14ac:dyDescent="0.2"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7:26" ht="15.75" customHeight="1" x14ac:dyDescent="0.2"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7:26" ht="15.75" customHeight="1" x14ac:dyDescent="0.2"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7:26" ht="15.75" customHeight="1" x14ac:dyDescent="0.2"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7:26" ht="15.75" customHeight="1" x14ac:dyDescent="0.2"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7:26" ht="15.75" customHeight="1" x14ac:dyDescent="0.2"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7:26" ht="15.75" customHeight="1" x14ac:dyDescent="0.2"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7:26" ht="15.75" customHeight="1" x14ac:dyDescent="0.2"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7:26" ht="15.75" customHeight="1" x14ac:dyDescent="0.2"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7:26" ht="15.75" customHeight="1" x14ac:dyDescent="0.2"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7:26" ht="15.75" customHeight="1" x14ac:dyDescent="0.2"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7:26" ht="15.75" customHeight="1" x14ac:dyDescent="0.2"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7:26" ht="15.75" customHeight="1" x14ac:dyDescent="0.2"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7:26" ht="15.75" customHeight="1" x14ac:dyDescent="0.2"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7:26" ht="15.75" customHeight="1" x14ac:dyDescent="0.2"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7:26" ht="15.75" customHeight="1" x14ac:dyDescent="0.2"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7:26" ht="15.75" customHeight="1" x14ac:dyDescent="0.2"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7:26" ht="15.75" customHeight="1" x14ac:dyDescent="0.2"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7:26" ht="15.75" customHeight="1" x14ac:dyDescent="0.2"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7:26" ht="15.75" customHeight="1" x14ac:dyDescent="0.2"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7:26" ht="15.75" customHeight="1" x14ac:dyDescent="0.2"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7:26" ht="15.75" customHeight="1" x14ac:dyDescent="0.2"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7:26" ht="15.75" customHeight="1" x14ac:dyDescent="0.2"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7:26" ht="15.75" customHeight="1" x14ac:dyDescent="0.2"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7:26" ht="15.75" customHeight="1" x14ac:dyDescent="0.2"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7:26" ht="15.75" customHeight="1" x14ac:dyDescent="0.2"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7:26" ht="15.75" customHeight="1" x14ac:dyDescent="0.2"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7:26" ht="15.75" customHeight="1" x14ac:dyDescent="0.2"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7:26" ht="15.75" customHeight="1" x14ac:dyDescent="0.2"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7:26" ht="15.75" customHeight="1" x14ac:dyDescent="0.2"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7:26" ht="15.75" customHeight="1" x14ac:dyDescent="0.2"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7:26" ht="15.75" customHeight="1" x14ac:dyDescent="0.2"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7:26" ht="15.75" customHeight="1" x14ac:dyDescent="0.2"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7:26" ht="15.75" customHeight="1" x14ac:dyDescent="0.2"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7:26" ht="15.75" customHeight="1" x14ac:dyDescent="0.2"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7:26" ht="15.75" customHeight="1" x14ac:dyDescent="0.2"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7:26" ht="15.75" customHeight="1" x14ac:dyDescent="0.2"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7:26" ht="15.75" customHeight="1" x14ac:dyDescent="0.2"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7:26" ht="15.75" customHeight="1" x14ac:dyDescent="0.2"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7:26" ht="15.75" customHeight="1" x14ac:dyDescent="0.2"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7:26" ht="15.75" customHeight="1" x14ac:dyDescent="0.2"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7:26" ht="15.75" customHeight="1" x14ac:dyDescent="0.2"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7:26" ht="15.75" customHeight="1" x14ac:dyDescent="0.2"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7:26" ht="15.75" customHeight="1" x14ac:dyDescent="0.2"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7:26" ht="15.75" customHeight="1" x14ac:dyDescent="0.2"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7:26" ht="15.75" customHeight="1" x14ac:dyDescent="0.2"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7:26" ht="15.75" customHeight="1" x14ac:dyDescent="0.2"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7:26" ht="15.75" customHeight="1" x14ac:dyDescent="0.2"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7:26" ht="15.75" customHeight="1" x14ac:dyDescent="0.2"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7:26" ht="15.75" customHeight="1" x14ac:dyDescent="0.2"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7:26" ht="15.75" customHeight="1" x14ac:dyDescent="0.2"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7:26" ht="15.75" customHeight="1" x14ac:dyDescent="0.2"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7:26" ht="15.75" customHeight="1" x14ac:dyDescent="0.2"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7:26" ht="15.75" customHeight="1" x14ac:dyDescent="0.2"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7:26" ht="15.75" customHeight="1" x14ac:dyDescent="0.2"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7:26" ht="15.75" customHeight="1" x14ac:dyDescent="0.2"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7:26" ht="15.75" customHeight="1" x14ac:dyDescent="0.2"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7:26" ht="15.75" customHeight="1" x14ac:dyDescent="0.2"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7:26" ht="15.75" customHeight="1" x14ac:dyDescent="0.2"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7:26" ht="15.75" customHeight="1" x14ac:dyDescent="0.2"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7:26" ht="15.75" customHeight="1" x14ac:dyDescent="0.2"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7:26" ht="15.75" customHeight="1" x14ac:dyDescent="0.2"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7:26" ht="15.75" customHeight="1" x14ac:dyDescent="0.2"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7:26" ht="15.75" customHeight="1" x14ac:dyDescent="0.2"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7:26" ht="15.75" customHeight="1" x14ac:dyDescent="0.2"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7:26" ht="15.75" customHeight="1" x14ac:dyDescent="0.2"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7:26" ht="15.75" customHeight="1" x14ac:dyDescent="0.2"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7:26" ht="15.75" customHeight="1" x14ac:dyDescent="0.2"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7:26" ht="15.75" customHeight="1" x14ac:dyDescent="0.2"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7:26" ht="15.75" customHeight="1" x14ac:dyDescent="0.2"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7:26" ht="15.75" customHeight="1" x14ac:dyDescent="0.2"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7:26" ht="15.75" customHeight="1" x14ac:dyDescent="0.2"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7:26" ht="15.75" customHeight="1" x14ac:dyDescent="0.2"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7:26" ht="15.75" customHeight="1" x14ac:dyDescent="0.2"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7:26" ht="15.75" customHeight="1" x14ac:dyDescent="0.2"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7:26" ht="15.75" customHeight="1" x14ac:dyDescent="0.2"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7:26" ht="15.75" customHeight="1" x14ac:dyDescent="0.2"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7:26" ht="15.75" customHeight="1" x14ac:dyDescent="0.2"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7:26" ht="15.75" customHeight="1" x14ac:dyDescent="0.2"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7:26" ht="15.75" customHeight="1" x14ac:dyDescent="0.2"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7:26" ht="15.75" customHeight="1" x14ac:dyDescent="0.2"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7:26" ht="15.75" customHeight="1" x14ac:dyDescent="0.2"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7:26" ht="15.75" customHeight="1" x14ac:dyDescent="0.2"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7:26" ht="15.75" customHeight="1" x14ac:dyDescent="0.2"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7:26" ht="15.75" customHeight="1" x14ac:dyDescent="0.2"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7:26" ht="15.75" customHeight="1" x14ac:dyDescent="0.2"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7:26" ht="15.75" customHeight="1" x14ac:dyDescent="0.2"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7:26" ht="15.75" customHeight="1" x14ac:dyDescent="0.2"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7:26" ht="15.75" customHeight="1" x14ac:dyDescent="0.2"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7:26" ht="15.75" customHeight="1" x14ac:dyDescent="0.2"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7:26" ht="15.75" customHeight="1" x14ac:dyDescent="0.2"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7:26" ht="15.75" customHeight="1" x14ac:dyDescent="0.2"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7:26" ht="15.75" customHeight="1" x14ac:dyDescent="0.2"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7:26" ht="15.75" customHeight="1" x14ac:dyDescent="0.2"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7:26" ht="15.75" customHeight="1" x14ac:dyDescent="0.2"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7:26" ht="15.75" customHeight="1" x14ac:dyDescent="0.2"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7:26" ht="15.75" customHeight="1" x14ac:dyDescent="0.2"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7:26" ht="15.75" customHeight="1" x14ac:dyDescent="0.2"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7:26" ht="15.75" customHeight="1" x14ac:dyDescent="0.2"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7:26" ht="15.75" customHeight="1" x14ac:dyDescent="0.2"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7:26" ht="15.75" customHeight="1" x14ac:dyDescent="0.2"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7:26" ht="15.75" customHeight="1" x14ac:dyDescent="0.2"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7:26" ht="15.75" customHeight="1" x14ac:dyDescent="0.2"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7:26" ht="15.75" customHeight="1" x14ac:dyDescent="0.2"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7:26" ht="15.75" customHeight="1" x14ac:dyDescent="0.2"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7:26" ht="15.75" customHeight="1" x14ac:dyDescent="0.2"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7:26" ht="15.75" customHeight="1" x14ac:dyDescent="0.2"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7:26" ht="15.75" customHeight="1" x14ac:dyDescent="0.2"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7:26" ht="15.75" customHeight="1" x14ac:dyDescent="0.2"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7:26" ht="15.75" customHeight="1" x14ac:dyDescent="0.2"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7:26" ht="15.75" customHeight="1" x14ac:dyDescent="0.2"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7:26" ht="15.75" customHeight="1" x14ac:dyDescent="0.2"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7:26" ht="15.75" customHeight="1" x14ac:dyDescent="0.2"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7:26" ht="15.75" customHeight="1" x14ac:dyDescent="0.2"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7:26" ht="15.75" customHeight="1" x14ac:dyDescent="0.2"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7:26" ht="15.75" customHeight="1" x14ac:dyDescent="0.2"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7:26" ht="15.75" customHeight="1" x14ac:dyDescent="0.2"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7:26" ht="15.75" customHeight="1" x14ac:dyDescent="0.2"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7:26" ht="15.75" customHeight="1" x14ac:dyDescent="0.2"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7:26" ht="15.75" customHeight="1" x14ac:dyDescent="0.2"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7:26" ht="15.75" customHeight="1" x14ac:dyDescent="0.2"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7:26" ht="15.75" customHeight="1" x14ac:dyDescent="0.2"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7:26" ht="15.75" customHeight="1" x14ac:dyDescent="0.2"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7:26" ht="15.75" customHeight="1" x14ac:dyDescent="0.2"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7:26" ht="15.75" customHeight="1" x14ac:dyDescent="0.2"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7:26" ht="15.75" customHeight="1" x14ac:dyDescent="0.2"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7:26" ht="15.75" customHeight="1" x14ac:dyDescent="0.2"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7:26" ht="15.75" customHeight="1" x14ac:dyDescent="0.2"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7:26" ht="15.75" customHeight="1" x14ac:dyDescent="0.2"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7:26" ht="15.75" customHeight="1" x14ac:dyDescent="0.2"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7:26" ht="15.75" customHeight="1" x14ac:dyDescent="0.2"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7:26" ht="15.75" customHeight="1" x14ac:dyDescent="0.2"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7:26" ht="15.75" customHeight="1" x14ac:dyDescent="0.2"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7:26" ht="15.75" customHeight="1" x14ac:dyDescent="0.2"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7:26" ht="15.75" customHeight="1" x14ac:dyDescent="0.2"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7:26" ht="15.75" customHeight="1" x14ac:dyDescent="0.2"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7:26" ht="15.75" customHeight="1" x14ac:dyDescent="0.2"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7:26" ht="15.75" customHeight="1" x14ac:dyDescent="0.2"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7:26" ht="15.75" customHeight="1" x14ac:dyDescent="0.2"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7:26" ht="15.75" customHeight="1" x14ac:dyDescent="0.2"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7:26" ht="15.75" customHeight="1" x14ac:dyDescent="0.2"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7:26" ht="15.75" customHeight="1" x14ac:dyDescent="0.2"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7:26" ht="15.75" customHeight="1" x14ac:dyDescent="0.2"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7:26" ht="15.75" customHeight="1" x14ac:dyDescent="0.2"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7:26" ht="15.75" customHeight="1" x14ac:dyDescent="0.2"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7:26" ht="15.75" customHeight="1" x14ac:dyDescent="0.2"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7:26" ht="15.75" customHeight="1" x14ac:dyDescent="0.2"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7:26" ht="15.75" customHeight="1" x14ac:dyDescent="0.2"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7:26" ht="15.75" customHeight="1" x14ac:dyDescent="0.2"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7:26" ht="15.75" customHeight="1" x14ac:dyDescent="0.2"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7:26" ht="15.75" customHeight="1" x14ac:dyDescent="0.2"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7:26" ht="15.75" customHeight="1" x14ac:dyDescent="0.2"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7:26" ht="15.75" customHeight="1" x14ac:dyDescent="0.2"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7:26" ht="15.75" customHeight="1" x14ac:dyDescent="0.2"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7:26" ht="15.75" customHeight="1" x14ac:dyDescent="0.2"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7:26" ht="15.75" customHeight="1" x14ac:dyDescent="0.2"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7:26" ht="15.75" customHeight="1" x14ac:dyDescent="0.2"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7:26" ht="15.75" customHeight="1" x14ac:dyDescent="0.2"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7:26" ht="15.75" customHeight="1" x14ac:dyDescent="0.2"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7:26" ht="15.75" customHeight="1" x14ac:dyDescent="0.2"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7:26" ht="15.75" customHeight="1" x14ac:dyDescent="0.2"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7:26" ht="15.75" customHeight="1" x14ac:dyDescent="0.2"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7:26" ht="15.75" customHeight="1" x14ac:dyDescent="0.2"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7:26" ht="15.75" customHeight="1" x14ac:dyDescent="0.2"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7:26" ht="15.75" customHeight="1" x14ac:dyDescent="0.2"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7:26" ht="15.75" customHeight="1" x14ac:dyDescent="0.2"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7:26" ht="15.75" customHeight="1" x14ac:dyDescent="0.2"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7:26" ht="15.75" customHeight="1" x14ac:dyDescent="0.2"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7:26" ht="15.75" customHeight="1" x14ac:dyDescent="0.2"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7:26" ht="15.75" customHeight="1" x14ac:dyDescent="0.2"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7:26" ht="15.75" customHeight="1" x14ac:dyDescent="0.2"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7:26" ht="15.75" customHeight="1" x14ac:dyDescent="0.2"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7:26" ht="15.75" customHeight="1" x14ac:dyDescent="0.2"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7:26" ht="15.75" customHeight="1" x14ac:dyDescent="0.2"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7:26" ht="15.75" customHeight="1" x14ac:dyDescent="0.2"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7:26" ht="15.75" customHeight="1" x14ac:dyDescent="0.2"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7:26" ht="15.75" customHeight="1" x14ac:dyDescent="0.2"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7:26" ht="15.75" customHeight="1" x14ac:dyDescent="0.2"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7:26" ht="15.75" customHeight="1" x14ac:dyDescent="0.2"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7:26" ht="15.75" customHeight="1" x14ac:dyDescent="0.2"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7:26" ht="15.75" customHeight="1" x14ac:dyDescent="0.2"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7:26" ht="15.75" customHeight="1" x14ac:dyDescent="0.2"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7:26" ht="15.75" customHeight="1" x14ac:dyDescent="0.2"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7:26" ht="15.75" customHeight="1" x14ac:dyDescent="0.2"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7:26" ht="15.75" customHeight="1" x14ac:dyDescent="0.2"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7:26" ht="15.75" customHeight="1" x14ac:dyDescent="0.2"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7:26" ht="15.75" customHeight="1" x14ac:dyDescent="0.2"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7:26" ht="15.75" customHeight="1" x14ac:dyDescent="0.2"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7:26" ht="15.75" customHeight="1" x14ac:dyDescent="0.2"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7:26" ht="15.75" customHeight="1" x14ac:dyDescent="0.2"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7:26" ht="15.75" customHeight="1" x14ac:dyDescent="0.2"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7:26" ht="15.75" customHeight="1" x14ac:dyDescent="0.2"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7:26" ht="15.75" customHeight="1" x14ac:dyDescent="0.2"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7:26" ht="15.75" customHeight="1" x14ac:dyDescent="0.2"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7:26" ht="15.75" customHeight="1" x14ac:dyDescent="0.2"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7:26" ht="15.75" customHeight="1" x14ac:dyDescent="0.2"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7:26" ht="15.75" customHeight="1" x14ac:dyDescent="0.2"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7:26" ht="15.75" customHeight="1" x14ac:dyDescent="0.2"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7:26" ht="15.75" customHeight="1" x14ac:dyDescent="0.2"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7:26" ht="15.75" customHeight="1" x14ac:dyDescent="0.2"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7:26" ht="15.75" customHeight="1" x14ac:dyDescent="0.2"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7:26" ht="15.75" customHeight="1" x14ac:dyDescent="0.2"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7:26" ht="15.75" customHeight="1" x14ac:dyDescent="0.2"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7:26" ht="15.75" customHeight="1" x14ac:dyDescent="0.2"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7:26" ht="15.75" customHeight="1" x14ac:dyDescent="0.2"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7:26" ht="15.75" customHeight="1" x14ac:dyDescent="0.2"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7:26" ht="15.75" customHeight="1" x14ac:dyDescent="0.2"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7:26" ht="15.75" customHeight="1" x14ac:dyDescent="0.2"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7:26" ht="15.75" customHeight="1" x14ac:dyDescent="0.2"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7:26" ht="15.75" customHeight="1" x14ac:dyDescent="0.2"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7:26" ht="15.75" customHeight="1" x14ac:dyDescent="0.2"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7:26" ht="15.75" customHeight="1" x14ac:dyDescent="0.2"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7:26" ht="15.75" customHeight="1" x14ac:dyDescent="0.2"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7:26" ht="15.75" customHeight="1" x14ac:dyDescent="0.2"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7:26" ht="15.75" customHeight="1" x14ac:dyDescent="0.2"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7:26" ht="15.75" customHeight="1" x14ac:dyDescent="0.2"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7:26" ht="15.75" customHeight="1" x14ac:dyDescent="0.2"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7:26" ht="15.75" customHeight="1" x14ac:dyDescent="0.2"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7:26" ht="15.75" customHeight="1" x14ac:dyDescent="0.2"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7:26" ht="15.75" customHeight="1" x14ac:dyDescent="0.2"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7:26" ht="15.75" customHeight="1" x14ac:dyDescent="0.2"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7:26" ht="15.75" customHeight="1" x14ac:dyDescent="0.2"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7:26" ht="15.75" customHeight="1" x14ac:dyDescent="0.2"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7:26" ht="15.75" customHeight="1" x14ac:dyDescent="0.2"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7:26" ht="15.75" customHeight="1" x14ac:dyDescent="0.2"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7:26" ht="15.75" customHeight="1" x14ac:dyDescent="0.2"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7:26" ht="15.75" customHeight="1" x14ac:dyDescent="0.2"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7:26" ht="15.75" customHeight="1" x14ac:dyDescent="0.2"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7:26" ht="15.75" customHeight="1" x14ac:dyDescent="0.2"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7:26" ht="15.75" customHeight="1" x14ac:dyDescent="0.2"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7:26" ht="15.75" customHeight="1" x14ac:dyDescent="0.2"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7:26" ht="15.75" customHeight="1" x14ac:dyDescent="0.2"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7:26" ht="15.75" customHeight="1" x14ac:dyDescent="0.2"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7:26" ht="15.75" customHeight="1" x14ac:dyDescent="0.2"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7:26" ht="15.75" customHeight="1" x14ac:dyDescent="0.2"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7:26" ht="15.75" customHeight="1" x14ac:dyDescent="0.2"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7:26" ht="15.75" customHeight="1" x14ac:dyDescent="0.2"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7:26" ht="15.75" customHeight="1" x14ac:dyDescent="0.2"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7:26" ht="15.75" customHeight="1" x14ac:dyDescent="0.2"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7:26" ht="15.75" customHeight="1" x14ac:dyDescent="0.2"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7:26" ht="15.75" customHeight="1" x14ac:dyDescent="0.2"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7:26" ht="15.75" customHeight="1" x14ac:dyDescent="0.2"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7:26" ht="15.75" customHeight="1" x14ac:dyDescent="0.2"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7:26" ht="15.75" customHeight="1" x14ac:dyDescent="0.2"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7:26" ht="15.75" customHeight="1" x14ac:dyDescent="0.2"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7:26" ht="15.75" customHeight="1" x14ac:dyDescent="0.2"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7:26" ht="15.75" customHeight="1" x14ac:dyDescent="0.2"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7:26" ht="15.75" customHeight="1" x14ac:dyDescent="0.2"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7:26" ht="15.75" customHeight="1" x14ac:dyDescent="0.2"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7:26" ht="15.75" customHeight="1" x14ac:dyDescent="0.2"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7:26" ht="15.75" customHeight="1" x14ac:dyDescent="0.2"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7:26" ht="15.75" customHeight="1" x14ac:dyDescent="0.2"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7:26" ht="15.75" customHeight="1" x14ac:dyDescent="0.2"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7:26" ht="15.75" customHeight="1" x14ac:dyDescent="0.2"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7:26" ht="15.75" customHeight="1" x14ac:dyDescent="0.2"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7:26" ht="15.75" customHeight="1" x14ac:dyDescent="0.2"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7:26" ht="15.75" customHeight="1" x14ac:dyDescent="0.2"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7:26" ht="15.75" customHeight="1" x14ac:dyDescent="0.2"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7:26" ht="15.75" customHeight="1" x14ac:dyDescent="0.2"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7:26" ht="15.75" customHeight="1" x14ac:dyDescent="0.2"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7:26" ht="15.75" customHeight="1" x14ac:dyDescent="0.2"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7:26" ht="15.75" customHeight="1" x14ac:dyDescent="0.2"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7:26" ht="15.75" customHeight="1" x14ac:dyDescent="0.2"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7:26" ht="15.75" customHeight="1" x14ac:dyDescent="0.2"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7:26" ht="15.75" customHeight="1" x14ac:dyDescent="0.2"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7:26" ht="15.75" customHeight="1" x14ac:dyDescent="0.2"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7:26" ht="15.75" customHeight="1" x14ac:dyDescent="0.2"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7:26" ht="15.75" customHeight="1" x14ac:dyDescent="0.2"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7:26" ht="15.75" customHeight="1" x14ac:dyDescent="0.2"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7:26" ht="15.75" customHeight="1" x14ac:dyDescent="0.2"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7:26" ht="15.75" customHeight="1" x14ac:dyDescent="0.2"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7:26" ht="15.75" customHeight="1" x14ac:dyDescent="0.2"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7:26" ht="15.75" customHeight="1" x14ac:dyDescent="0.2"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7:26" ht="15.75" customHeight="1" x14ac:dyDescent="0.2"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7:26" ht="15.75" customHeight="1" x14ac:dyDescent="0.2"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7:26" ht="15.75" customHeight="1" x14ac:dyDescent="0.2"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7:26" ht="15.75" customHeight="1" x14ac:dyDescent="0.2"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7:26" ht="15.75" customHeight="1" x14ac:dyDescent="0.2"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7:26" ht="15.75" customHeight="1" x14ac:dyDescent="0.2"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7:26" ht="15.75" customHeight="1" x14ac:dyDescent="0.2"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7:26" ht="15.75" customHeight="1" x14ac:dyDescent="0.2"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7:26" ht="15.75" customHeight="1" x14ac:dyDescent="0.2"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7:26" ht="15.75" customHeight="1" x14ac:dyDescent="0.2"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7:26" ht="15.75" customHeight="1" x14ac:dyDescent="0.2"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7:26" ht="15.75" customHeight="1" x14ac:dyDescent="0.2"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7:26" ht="15.75" customHeight="1" x14ac:dyDescent="0.2"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7:26" ht="15.75" customHeight="1" x14ac:dyDescent="0.2"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7:26" ht="15.75" customHeight="1" x14ac:dyDescent="0.2"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7:26" ht="15.75" customHeight="1" x14ac:dyDescent="0.2"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7:26" ht="15.75" customHeight="1" x14ac:dyDescent="0.2"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7:26" ht="15.75" customHeight="1" x14ac:dyDescent="0.2"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7:26" ht="15.75" customHeight="1" x14ac:dyDescent="0.2"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7:26" ht="15.75" customHeight="1" x14ac:dyDescent="0.2"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7:26" ht="15.75" customHeight="1" x14ac:dyDescent="0.2"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7:26" ht="15.75" customHeight="1" x14ac:dyDescent="0.2"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7:26" ht="15.75" customHeight="1" x14ac:dyDescent="0.2"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7:26" ht="15.75" customHeight="1" x14ac:dyDescent="0.2"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7:26" ht="15.75" customHeight="1" x14ac:dyDescent="0.2"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7:26" ht="15.75" customHeight="1" x14ac:dyDescent="0.2"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7:26" ht="15.75" customHeight="1" x14ac:dyDescent="0.2"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7:26" ht="15.75" customHeight="1" x14ac:dyDescent="0.2"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7:26" ht="15.75" customHeight="1" x14ac:dyDescent="0.2"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7:26" ht="15.75" customHeight="1" x14ac:dyDescent="0.2"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7:26" ht="15.75" customHeight="1" x14ac:dyDescent="0.2"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7:26" ht="15.75" customHeight="1" x14ac:dyDescent="0.2"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7:26" ht="15.75" customHeight="1" x14ac:dyDescent="0.2"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7:26" ht="15.75" customHeight="1" x14ac:dyDescent="0.2"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7:26" ht="15.75" customHeight="1" x14ac:dyDescent="0.2"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7:26" ht="15.75" customHeight="1" x14ac:dyDescent="0.2"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7:26" ht="15.75" customHeight="1" x14ac:dyDescent="0.2"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7:26" ht="15.75" customHeight="1" x14ac:dyDescent="0.2"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7:26" ht="15.75" customHeight="1" x14ac:dyDescent="0.2"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7:26" ht="15.75" customHeight="1" x14ac:dyDescent="0.2"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7:26" ht="15.75" customHeight="1" x14ac:dyDescent="0.2"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7:26" ht="15.75" customHeight="1" x14ac:dyDescent="0.2"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7:26" ht="15.75" customHeight="1" x14ac:dyDescent="0.2"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7:26" ht="15.75" customHeight="1" x14ac:dyDescent="0.2"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7:26" ht="15.75" customHeight="1" x14ac:dyDescent="0.2"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7:26" ht="15.75" customHeight="1" x14ac:dyDescent="0.2"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7:26" ht="15.75" customHeight="1" x14ac:dyDescent="0.2"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7:26" ht="15.75" customHeight="1" x14ac:dyDescent="0.2"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7:26" ht="15.75" customHeight="1" x14ac:dyDescent="0.2"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7:26" ht="15.75" customHeight="1" x14ac:dyDescent="0.2"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7:26" ht="15.75" customHeight="1" x14ac:dyDescent="0.2"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7:26" ht="15.75" customHeight="1" x14ac:dyDescent="0.2"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7:26" ht="15.75" customHeight="1" x14ac:dyDescent="0.2"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7:26" ht="15.75" customHeight="1" x14ac:dyDescent="0.2"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7:26" ht="15.75" customHeight="1" x14ac:dyDescent="0.2"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7:26" ht="15.75" customHeight="1" x14ac:dyDescent="0.2"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7:26" ht="15.75" customHeight="1" x14ac:dyDescent="0.2"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7:26" ht="15.75" customHeight="1" x14ac:dyDescent="0.2"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7:26" ht="15.75" customHeight="1" x14ac:dyDescent="0.2"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7:26" ht="15.75" customHeight="1" x14ac:dyDescent="0.2"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7:26" ht="15.75" customHeight="1" x14ac:dyDescent="0.2"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9">
    <mergeCell ref="A62:E62"/>
    <mergeCell ref="A24:E24"/>
    <mergeCell ref="A2:E2"/>
    <mergeCell ref="A15:E15"/>
    <mergeCell ref="A1:E1"/>
    <mergeCell ref="A45:E45"/>
    <mergeCell ref="A55:E55"/>
    <mergeCell ref="A34:E34"/>
    <mergeCell ref="A4:E4"/>
  </mergeCells>
  <pageMargins left="0.75" right="0.75" top="1" bottom="1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showGridLines="0" zoomScaleNormal="100" workbookViewId="0"/>
  </sheetViews>
  <sheetFormatPr defaultColWidth="14.390625" defaultRowHeight="15" x14ac:dyDescent="0.2"/>
  <cols>
    <col min="1" max="1" width="32.015625" style="1" customWidth="1"/>
    <col min="2" max="3" width="18.0234375" style="1" customWidth="1"/>
    <col min="4" max="4" width="34.03125" style="1" customWidth="1"/>
    <col min="5" max="6" width="8.7421875" style="1" customWidth="1"/>
  </cols>
  <sheetData>
    <row r="1" spans="1:26" ht="24" customHeight="1" x14ac:dyDescent="0.2">
      <c r="A1" s="20" t="s">
        <v>114</v>
      </c>
      <c r="B1" s="21"/>
      <c r="C1" s="21"/>
      <c r="D1" s="2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">
      <c r="A2" s="26" t="s">
        <v>115</v>
      </c>
      <c r="B2" s="21"/>
      <c r="C2" s="21"/>
      <c r="D2" s="2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"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" customHeight="1" x14ac:dyDescent="0.2">
      <c r="A4" s="23" t="s">
        <v>116</v>
      </c>
      <c r="B4" s="24"/>
      <c r="C4" s="24"/>
      <c r="D4" s="25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" customHeight="1" x14ac:dyDescent="0.2">
      <c r="A5" s="8" t="s">
        <v>48</v>
      </c>
      <c r="B5" s="8" t="s">
        <v>49</v>
      </c>
      <c r="C5" s="8" t="s">
        <v>117</v>
      </c>
      <c r="D5" s="8" t="s">
        <v>52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" customHeight="1" x14ac:dyDescent="0.2">
      <c r="A6" s="11" t="s">
        <v>60</v>
      </c>
      <c r="B6" s="11" t="s">
        <v>61</v>
      </c>
      <c r="C6" s="7" t="s">
        <v>62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" customHeight="1" x14ac:dyDescent="0.2">
      <c r="A7" s="11" t="s">
        <v>64</v>
      </c>
      <c r="B7" s="11" t="s">
        <v>61</v>
      </c>
      <c r="C7" s="7" t="s">
        <v>62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" customHeight="1" x14ac:dyDescent="0.2">
      <c r="A8" s="11" t="s">
        <v>65</v>
      </c>
      <c r="B8" s="11" t="s">
        <v>61</v>
      </c>
      <c r="C8" s="7" t="s">
        <v>66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" customHeight="1" x14ac:dyDescent="0.2">
      <c r="A9" s="11" t="s">
        <v>67</v>
      </c>
      <c r="B9" s="11" t="s">
        <v>61</v>
      </c>
      <c r="C9" s="7" t="s">
        <v>68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" customHeight="1" x14ac:dyDescent="0.2">
      <c r="A10" s="11" t="s">
        <v>70</v>
      </c>
      <c r="B10" s="11" t="s">
        <v>61</v>
      </c>
      <c r="C10" s="7" t="s">
        <v>71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" customHeight="1" x14ac:dyDescent="0.2">
      <c r="A11" s="4" t="s">
        <v>76</v>
      </c>
      <c r="B11" s="4" t="s">
        <v>23</v>
      </c>
      <c r="C11" s="6" t="s">
        <v>55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2">
      <c r="A12" s="4" t="s">
        <v>118</v>
      </c>
      <c r="B12" s="4" t="s">
        <v>54</v>
      </c>
      <c r="C12" s="6" t="s">
        <v>55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2">
      <c r="A13" s="4" t="s">
        <v>83</v>
      </c>
      <c r="B13" s="4" t="s">
        <v>30</v>
      </c>
      <c r="C13" s="6" t="s">
        <v>59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" customHeight="1" x14ac:dyDescent="0.2"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" customHeight="1" x14ac:dyDescent="0.2">
      <c r="A15" s="23" t="s">
        <v>119</v>
      </c>
      <c r="B15" s="24"/>
      <c r="C15" s="24"/>
      <c r="D15" s="25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2">
      <c r="A16" s="8" t="s">
        <v>48</v>
      </c>
      <c r="B16" s="8" t="s">
        <v>49</v>
      </c>
      <c r="C16" s="8" t="s">
        <v>117</v>
      </c>
      <c r="D16" s="8" t="s">
        <v>52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 x14ac:dyDescent="0.2">
      <c r="A17" s="11" t="s">
        <v>60</v>
      </c>
      <c r="B17" s="11" t="s">
        <v>61</v>
      </c>
      <c r="C17" s="7" t="s">
        <v>62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 x14ac:dyDescent="0.2">
      <c r="A18" s="11" t="s">
        <v>64</v>
      </c>
      <c r="B18" s="11" t="s">
        <v>61</v>
      </c>
      <c r="C18" s="7" t="s">
        <v>62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" customHeight="1" x14ac:dyDescent="0.2">
      <c r="A19" s="11" t="s">
        <v>65</v>
      </c>
      <c r="B19" s="11" t="s">
        <v>61</v>
      </c>
      <c r="C19" s="7" t="s">
        <v>66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" customHeight="1" x14ac:dyDescent="0.2">
      <c r="A20" s="11" t="s">
        <v>67</v>
      </c>
      <c r="B20" s="11" t="s">
        <v>61</v>
      </c>
      <c r="C20" s="7" t="s">
        <v>68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11" t="s">
        <v>70</v>
      </c>
      <c r="B21" s="11" t="s">
        <v>61</v>
      </c>
      <c r="C21" s="7" t="s">
        <v>71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4" t="s">
        <v>85</v>
      </c>
      <c r="B22" s="4" t="s">
        <v>86</v>
      </c>
      <c r="C22" s="6" t="s">
        <v>55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4" t="s">
        <v>87</v>
      </c>
      <c r="B23" s="4" t="s">
        <v>86</v>
      </c>
      <c r="C23" s="6" t="s">
        <v>59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4" t="s">
        <v>95</v>
      </c>
      <c r="B24" s="4" t="s">
        <v>28</v>
      </c>
      <c r="C24" s="6" t="s">
        <v>55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23" t="s">
        <v>120</v>
      </c>
      <c r="B26" s="24"/>
      <c r="C26" s="24"/>
      <c r="D26" s="25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8" t="s">
        <v>48</v>
      </c>
      <c r="B27" s="8" t="s">
        <v>49</v>
      </c>
      <c r="C27" s="8" t="s">
        <v>117</v>
      </c>
      <c r="D27" s="8" t="s">
        <v>52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11" t="s">
        <v>60</v>
      </c>
      <c r="B28" s="11" t="s">
        <v>61</v>
      </c>
      <c r="C28" s="7" t="s">
        <v>62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11" t="s">
        <v>64</v>
      </c>
      <c r="B29" s="11" t="s">
        <v>61</v>
      </c>
      <c r="C29" s="7" t="s">
        <v>62</v>
      </c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11" t="s">
        <v>70</v>
      </c>
      <c r="B30" s="11" t="s">
        <v>61</v>
      </c>
      <c r="C30" s="7" t="s">
        <v>71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4" t="s">
        <v>100</v>
      </c>
      <c r="B31" s="4" t="s">
        <v>101</v>
      </c>
      <c r="C31" s="6" t="s">
        <v>59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4" t="s">
        <v>88</v>
      </c>
      <c r="B32" s="4" t="s">
        <v>86</v>
      </c>
      <c r="C32" s="6" t="s">
        <v>59</v>
      </c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4" t="s">
        <v>118</v>
      </c>
      <c r="B33" s="4" t="s">
        <v>54</v>
      </c>
      <c r="C33" s="6" t="s">
        <v>59</v>
      </c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">
      <c r="A34" s="4" t="s">
        <v>72</v>
      </c>
      <c r="B34" s="4" t="s">
        <v>72</v>
      </c>
      <c r="C34" s="6" t="s">
        <v>55</v>
      </c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4" t="s">
        <v>32</v>
      </c>
      <c r="B35" s="4" t="s">
        <v>32</v>
      </c>
      <c r="C35" s="6" t="s">
        <v>55</v>
      </c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29" t="s">
        <v>121</v>
      </c>
      <c r="B36" s="24"/>
      <c r="C36" s="24"/>
      <c r="D36" s="25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31" t="s">
        <v>122</v>
      </c>
      <c r="B39" s="24"/>
      <c r="C39" s="24"/>
      <c r="D39" s="25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32" t="s">
        <v>123</v>
      </c>
      <c r="B40" s="24"/>
      <c r="C40" s="24"/>
      <c r="D40" s="25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32" t="s">
        <v>124</v>
      </c>
      <c r="B41" s="24"/>
      <c r="C41" s="24"/>
      <c r="D41" s="25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32" t="s">
        <v>125</v>
      </c>
      <c r="B42" s="24"/>
      <c r="C42" s="24"/>
      <c r="D42" s="25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32" t="s">
        <v>126</v>
      </c>
      <c r="B43" s="24"/>
      <c r="C43" s="24"/>
      <c r="D43" s="25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7:26" ht="15.75" customHeight="1" x14ac:dyDescent="0.2"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7:26" ht="15.75" customHeight="1" x14ac:dyDescent="0.2"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7:26" ht="15.75" customHeight="1" x14ac:dyDescent="0.2"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7:26" ht="15.75" customHeight="1" x14ac:dyDescent="0.2"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7:26" ht="15.75" customHeight="1" x14ac:dyDescent="0.2"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7:26" ht="15.75" customHeight="1" x14ac:dyDescent="0.2"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7:26" ht="15.75" customHeight="1" x14ac:dyDescent="0.2"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7:26" ht="15.75" customHeight="1" x14ac:dyDescent="0.2"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7:26" ht="15.75" customHeight="1" x14ac:dyDescent="0.2"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7:26" ht="15.75" customHeight="1" x14ac:dyDescent="0.2"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7:26" ht="15.75" customHeight="1" x14ac:dyDescent="0.2"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7:26" ht="15.75" customHeight="1" x14ac:dyDescent="0.2"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7:26" ht="15.75" customHeight="1" x14ac:dyDescent="0.2"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7:26" ht="15.75" customHeight="1" x14ac:dyDescent="0.2"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7:26" ht="15.75" customHeight="1" x14ac:dyDescent="0.2"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7:26" ht="15.75" customHeight="1" x14ac:dyDescent="0.2"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7:26" ht="15.75" customHeight="1" x14ac:dyDescent="0.2"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7:26" ht="15.75" customHeight="1" x14ac:dyDescent="0.2"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7:26" ht="15.75" customHeight="1" x14ac:dyDescent="0.2"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7:26" ht="15.75" customHeight="1" x14ac:dyDescent="0.2"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7:26" ht="15.75" customHeight="1" x14ac:dyDescent="0.2"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7:26" ht="15.75" customHeight="1" x14ac:dyDescent="0.2"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7:26" ht="15.75" customHeight="1" x14ac:dyDescent="0.2"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7:26" ht="15.75" customHeight="1" x14ac:dyDescent="0.2"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7:26" ht="15.75" customHeight="1" x14ac:dyDescent="0.2"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7:26" ht="15.75" customHeight="1" x14ac:dyDescent="0.2"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7:26" ht="15.75" customHeight="1" x14ac:dyDescent="0.2"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7:26" ht="15.75" customHeight="1" x14ac:dyDescent="0.2"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7:26" ht="15.75" customHeight="1" x14ac:dyDescent="0.2"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7:26" ht="15.75" customHeight="1" x14ac:dyDescent="0.2"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7:26" ht="15.75" customHeight="1" x14ac:dyDescent="0.2"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7:26" ht="15.75" customHeight="1" x14ac:dyDescent="0.2"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7:26" ht="15.75" customHeight="1" x14ac:dyDescent="0.2"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7:26" ht="15.75" customHeight="1" x14ac:dyDescent="0.2"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7:26" ht="15.75" customHeight="1" x14ac:dyDescent="0.2"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7:26" ht="15.75" customHeight="1" x14ac:dyDescent="0.2"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7:26" ht="15.75" customHeight="1" x14ac:dyDescent="0.2"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7:26" ht="15.75" customHeight="1" x14ac:dyDescent="0.2"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7:26" ht="15.75" customHeight="1" x14ac:dyDescent="0.2"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7:26" ht="15.75" customHeight="1" x14ac:dyDescent="0.2"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7:26" ht="15.75" customHeight="1" x14ac:dyDescent="0.2"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7:26" ht="15.75" customHeight="1" x14ac:dyDescent="0.2"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7:26" ht="15.75" customHeight="1" x14ac:dyDescent="0.2"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7:26" ht="15.75" customHeight="1" x14ac:dyDescent="0.2"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7:26" ht="15.75" customHeight="1" x14ac:dyDescent="0.2"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7:26" ht="15.75" customHeight="1" x14ac:dyDescent="0.2"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7:26" ht="15.75" customHeight="1" x14ac:dyDescent="0.2"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7:26" ht="15.75" customHeight="1" x14ac:dyDescent="0.2"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7:26" ht="15.75" customHeight="1" x14ac:dyDescent="0.2"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7:26" ht="15.75" customHeight="1" x14ac:dyDescent="0.2"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7:26" ht="15.75" customHeight="1" x14ac:dyDescent="0.2"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7:26" ht="15.75" customHeight="1" x14ac:dyDescent="0.2"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7:26" ht="15.75" customHeight="1" x14ac:dyDescent="0.2"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7:26" ht="15.75" customHeight="1" x14ac:dyDescent="0.2"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7:26" ht="15.75" customHeight="1" x14ac:dyDescent="0.2"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7:26" ht="15.75" customHeight="1" x14ac:dyDescent="0.2"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7:26" ht="15.75" customHeight="1" x14ac:dyDescent="0.2"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7:26" ht="15.75" customHeight="1" x14ac:dyDescent="0.2"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7:26" ht="15.75" customHeight="1" x14ac:dyDescent="0.2"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7:26" ht="15.75" customHeight="1" x14ac:dyDescent="0.2"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7:26" ht="15.75" customHeight="1" x14ac:dyDescent="0.2"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7:26" ht="15.75" customHeight="1" x14ac:dyDescent="0.2"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7:26" ht="15.75" customHeight="1" x14ac:dyDescent="0.2"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7:26" ht="15.75" customHeight="1" x14ac:dyDescent="0.2"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7:26" ht="15.75" customHeight="1" x14ac:dyDescent="0.2"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7:26" ht="15.75" customHeight="1" x14ac:dyDescent="0.2"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7:26" ht="15.75" customHeight="1" x14ac:dyDescent="0.2"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7:26" ht="15.75" customHeight="1" x14ac:dyDescent="0.2"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7:26" ht="15.75" customHeight="1" x14ac:dyDescent="0.2"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7:26" ht="15.75" customHeight="1" x14ac:dyDescent="0.2"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7:26" ht="15.75" customHeight="1" x14ac:dyDescent="0.2"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7:26" ht="15.75" customHeight="1" x14ac:dyDescent="0.2"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7:26" ht="15.75" customHeight="1" x14ac:dyDescent="0.2"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7:26" ht="15.75" customHeight="1" x14ac:dyDescent="0.2"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7:26" ht="15.75" customHeight="1" x14ac:dyDescent="0.2"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7:26" ht="15.75" customHeight="1" x14ac:dyDescent="0.2"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7:26" ht="15.75" customHeight="1" x14ac:dyDescent="0.2"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7:26" ht="15.75" customHeight="1" x14ac:dyDescent="0.2"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7:26" ht="15.75" customHeight="1" x14ac:dyDescent="0.2"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7:26" ht="15.75" customHeight="1" x14ac:dyDescent="0.2"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7:26" ht="15.75" customHeight="1" x14ac:dyDescent="0.2"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7:26" ht="15.75" customHeight="1" x14ac:dyDescent="0.2"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7:26" ht="15.75" customHeight="1" x14ac:dyDescent="0.2"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7:26" ht="15.75" customHeight="1" x14ac:dyDescent="0.2"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7:26" ht="15.75" customHeight="1" x14ac:dyDescent="0.2"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7:26" ht="15.75" customHeight="1" x14ac:dyDescent="0.2"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7:26" ht="15.75" customHeight="1" x14ac:dyDescent="0.2"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7:26" ht="15.75" customHeight="1" x14ac:dyDescent="0.2"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7:26" ht="15.75" customHeight="1" x14ac:dyDescent="0.2"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7:26" ht="15.75" customHeight="1" x14ac:dyDescent="0.2"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7:26" ht="15.75" customHeight="1" x14ac:dyDescent="0.2"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7:26" ht="15.75" customHeight="1" x14ac:dyDescent="0.2"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7:26" ht="15.75" customHeight="1" x14ac:dyDescent="0.2"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7:26" ht="15.75" customHeight="1" x14ac:dyDescent="0.2"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7:26" ht="15.75" customHeight="1" x14ac:dyDescent="0.2"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7:26" ht="15.75" customHeight="1" x14ac:dyDescent="0.2"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7:26" ht="15.75" customHeight="1" x14ac:dyDescent="0.2"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7:26" ht="15.75" customHeight="1" x14ac:dyDescent="0.2"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7:26" ht="15.75" customHeight="1" x14ac:dyDescent="0.2"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7:26" ht="15.75" customHeight="1" x14ac:dyDescent="0.2"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7:26" ht="15.75" customHeight="1" x14ac:dyDescent="0.2"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7:26" ht="15.75" customHeight="1" x14ac:dyDescent="0.2"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7:26" ht="15.75" customHeight="1" x14ac:dyDescent="0.2"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7:26" ht="15.75" customHeight="1" x14ac:dyDescent="0.2"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7:26" ht="15.75" customHeight="1" x14ac:dyDescent="0.2"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7:26" ht="15.75" customHeight="1" x14ac:dyDescent="0.2"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7:26" ht="15.75" customHeight="1" x14ac:dyDescent="0.2"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7:26" ht="15.75" customHeight="1" x14ac:dyDescent="0.2"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7:26" ht="15.75" customHeight="1" x14ac:dyDescent="0.2"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7:26" ht="15.75" customHeight="1" x14ac:dyDescent="0.2"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7:26" ht="15.75" customHeight="1" x14ac:dyDescent="0.2"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7:26" ht="15.75" customHeight="1" x14ac:dyDescent="0.2"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7:26" ht="15.75" customHeight="1" x14ac:dyDescent="0.2"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7:26" ht="15.75" customHeight="1" x14ac:dyDescent="0.2"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7:26" ht="15.75" customHeight="1" x14ac:dyDescent="0.2"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7:26" ht="15.75" customHeight="1" x14ac:dyDescent="0.2"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7:26" ht="15.75" customHeight="1" x14ac:dyDescent="0.2"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7:26" ht="15.75" customHeight="1" x14ac:dyDescent="0.2"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7:26" ht="15.75" customHeight="1" x14ac:dyDescent="0.2"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7:26" ht="15.75" customHeight="1" x14ac:dyDescent="0.2"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7:26" ht="15.75" customHeight="1" x14ac:dyDescent="0.2"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7:26" ht="15.75" customHeight="1" x14ac:dyDescent="0.2"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7:26" ht="15.75" customHeight="1" x14ac:dyDescent="0.2"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7:26" ht="15.75" customHeight="1" x14ac:dyDescent="0.2"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7:26" ht="15.75" customHeight="1" x14ac:dyDescent="0.2"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7:26" ht="15.75" customHeight="1" x14ac:dyDescent="0.2"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7:26" ht="15.75" customHeight="1" x14ac:dyDescent="0.2"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7:26" ht="15.75" customHeight="1" x14ac:dyDescent="0.2"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7:26" ht="15.75" customHeight="1" x14ac:dyDescent="0.2"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7:26" ht="15.75" customHeight="1" x14ac:dyDescent="0.2"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7:26" ht="15.75" customHeight="1" x14ac:dyDescent="0.2"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7:26" ht="15.75" customHeight="1" x14ac:dyDescent="0.2"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7:26" ht="15.75" customHeight="1" x14ac:dyDescent="0.2"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7:26" ht="15.75" customHeight="1" x14ac:dyDescent="0.2"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7:26" ht="15.75" customHeight="1" x14ac:dyDescent="0.2"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7:26" ht="15.75" customHeight="1" x14ac:dyDescent="0.2"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7:26" ht="15.75" customHeight="1" x14ac:dyDescent="0.2"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7:26" ht="15.75" customHeight="1" x14ac:dyDescent="0.2"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7:26" ht="15.75" customHeight="1" x14ac:dyDescent="0.2"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7:26" ht="15.75" customHeight="1" x14ac:dyDescent="0.2"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7:26" ht="15.75" customHeight="1" x14ac:dyDescent="0.2"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7:26" ht="15.75" customHeight="1" x14ac:dyDescent="0.2"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7:26" ht="15.75" customHeight="1" x14ac:dyDescent="0.2"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7:26" ht="15.75" customHeight="1" x14ac:dyDescent="0.2"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7:26" ht="15.75" customHeight="1" x14ac:dyDescent="0.2"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7:26" ht="15.75" customHeight="1" x14ac:dyDescent="0.2"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7:26" ht="15.75" customHeight="1" x14ac:dyDescent="0.2"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7:26" ht="15.75" customHeight="1" x14ac:dyDescent="0.2"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7:26" ht="15.75" customHeight="1" x14ac:dyDescent="0.2"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7:26" ht="15.75" customHeight="1" x14ac:dyDescent="0.2"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7:26" ht="15.75" customHeight="1" x14ac:dyDescent="0.2"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7:26" ht="15.75" customHeight="1" x14ac:dyDescent="0.2"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7:26" ht="15.75" customHeight="1" x14ac:dyDescent="0.2"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7:26" ht="15.75" customHeight="1" x14ac:dyDescent="0.2"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7:26" ht="15.75" customHeight="1" x14ac:dyDescent="0.2"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7:26" ht="15.75" customHeight="1" x14ac:dyDescent="0.2"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7:26" ht="15.75" customHeight="1" x14ac:dyDescent="0.2"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7:26" ht="15.75" customHeight="1" x14ac:dyDescent="0.2"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7:26" ht="15.75" customHeight="1" x14ac:dyDescent="0.2"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7:26" ht="15.75" customHeight="1" x14ac:dyDescent="0.2"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7:26" ht="15.75" customHeight="1" x14ac:dyDescent="0.2"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7:26" ht="15.75" customHeight="1" x14ac:dyDescent="0.2"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7:26" ht="15.75" customHeight="1" x14ac:dyDescent="0.2"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7:26" ht="15.75" customHeight="1" x14ac:dyDescent="0.2"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7:26" ht="15.75" customHeight="1" x14ac:dyDescent="0.2"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7:26" ht="15.75" customHeight="1" x14ac:dyDescent="0.2"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7:26" ht="15.75" customHeight="1" x14ac:dyDescent="0.2"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7:26" ht="15.75" customHeight="1" x14ac:dyDescent="0.2"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7:26" ht="15.75" customHeight="1" x14ac:dyDescent="0.2"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7:26" ht="15.75" customHeight="1" x14ac:dyDescent="0.2"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7:26" ht="15.75" customHeight="1" x14ac:dyDescent="0.2"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7:26" ht="15.75" customHeight="1" x14ac:dyDescent="0.2"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7:26" ht="15.75" customHeight="1" x14ac:dyDescent="0.2"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7:26" ht="15.75" customHeight="1" x14ac:dyDescent="0.2"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7:26" ht="15.75" customHeight="1" x14ac:dyDescent="0.2"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7:26" ht="15.75" customHeight="1" x14ac:dyDescent="0.2"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7:26" ht="15.75" customHeight="1" x14ac:dyDescent="0.2"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7:26" ht="15.75" customHeight="1" x14ac:dyDescent="0.2"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7:26" ht="15.75" customHeight="1" x14ac:dyDescent="0.2"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7:26" ht="15.75" customHeight="1" x14ac:dyDescent="0.2"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7:26" ht="15.75" customHeight="1" x14ac:dyDescent="0.2"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7:26" ht="15.75" customHeight="1" x14ac:dyDescent="0.2"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7:26" ht="15.75" customHeight="1" x14ac:dyDescent="0.2"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7:26" ht="15.75" customHeight="1" x14ac:dyDescent="0.2"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7:26" ht="15.75" customHeight="1" x14ac:dyDescent="0.2"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7:26" ht="15.75" customHeight="1" x14ac:dyDescent="0.2"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7:26" ht="15.75" customHeight="1" x14ac:dyDescent="0.2"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7:26" ht="15.75" customHeight="1" x14ac:dyDescent="0.2"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7:26" ht="15.75" customHeight="1" x14ac:dyDescent="0.2"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7:26" ht="15.75" customHeight="1" x14ac:dyDescent="0.2"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7:26" ht="15.75" customHeight="1" x14ac:dyDescent="0.2"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7:26" ht="15.75" customHeight="1" x14ac:dyDescent="0.2"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7:26" ht="15.75" customHeight="1" x14ac:dyDescent="0.2"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7:26" ht="15.75" customHeight="1" x14ac:dyDescent="0.2"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7:26" ht="15.75" customHeight="1" x14ac:dyDescent="0.2"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7:26" ht="15.75" customHeight="1" x14ac:dyDescent="0.2"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7:26" ht="15.75" customHeight="1" x14ac:dyDescent="0.2"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7:26" ht="15.75" customHeight="1" x14ac:dyDescent="0.2"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7:26" ht="15.75" customHeight="1" x14ac:dyDescent="0.2"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7:26" ht="15.75" customHeight="1" x14ac:dyDescent="0.2"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7:26" ht="15.75" customHeight="1" x14ac:dyDescent="0.2"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7:26" ht="15.75" customHeight="1" x14ac:dyDescent="0.2"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7:26" ht="15.75" customHeight="1" x14ac:dyDescent="0.2"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7:26" ht="15.75" customHeight="1" x14ac:dyDescent="0.2"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7:26" ht="15.75" customHeight="1" x14ac:dyDescent="0.2"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7:26" ht="15.75" customHeight="1" x14ac:dyDescent="0.2"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7:26" ht="15.75" customHeight="1" x14ac:dyDescent="0.2"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7:26" ht="15.75" customHeight="1" x14ac:dyDescent="0.2"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7:26" ht="15.75" customHeight="1" x14ac:dyDescent="0.2"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7:26" ht="15.75" customHeight="1" x14ac:dyDescent="0.2"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7:26" ht="15.75" customHeight="1" x14ac:dyDescent="0.2"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7:26" ht="15.75" customHeight="1" x14ac:dyDescent="0.2"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7:26" ht="15.75" customHeight="1" x14ac:dyDescent="0.2"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7:26" ht="15.75" customHeight="1" x14ac:dyDescent="0.2"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7:26" ht="15.75" customHeight="1" x14ac:dyDescent="0.2"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7:26" ht="15.75" customHeight="1" x14ac:dyDescent="0.2"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7:26" ht="15.75" customHeight="1" x14ac:dyDescent="0.2"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7:26" ht="15.75" customHeight="1" x14ac:dyDescent="0.2"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7:26" ht="15.75" customHeight="1" x14ac:dyDescent="0.2"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7:26" ht="15.75" customHeight="1" x14ac:dyDescent="0.2"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7:26" ht="15.75" customHeight="1" x14ac:dyDescent="0.2"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7:26" ht="15.75" customHeight="1" x14ac:dyDescent="0.2"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7:26" ht="15.75" customHeight="1" x14ac:dyDescent="0.2"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7:26" ht="15.75" customHeight="1" x14ac:dyDescent="0.2"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7:26" ht="15.75" customHeight="1" x14ac:dyDescent="0.2"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7:26" ht="15.75" customHeight="1" x14ac:dyDescent="0.2"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7:26" ht="15.75" customHeight="1" x14ac:dyDescent="0.2"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7:26" ht="15.75" customHeight="1" x14ac:dyDescent="0.2"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7:26" ht="15.75" customHeight="1" x14ac:dyDescent="0.2"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7:26" ht="15.75" customHeight="1" x14ac:dyDescent="0.2"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7:26" ht="15.75" customHeight="1" x14ac:dyDescent="0.2"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7:26" ht="15.75" customHeight="1" x14ac:dyDescent="0.2"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7:26" ht="15.75" customHeight="1" x14ac:dyDescent="0.2"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7:26" ht="15.75" customHeight="1" x14ac:dyDescent="0.2"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7:26" ht="15.75" customHeight="1" x14ac:dyDescent="0.2"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7:26" ht="15.75" customHeight="1" x14ac:dyDescent="0.2"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7:26" ht="15.75" customHeight="1" x14ac:dyDescent="0.2"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7:26" ht="15.75" customHeight="1" x14ac:dyDescent="0.2"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7:26" ht="15.75" customHeight="1" x14ac:dyDescent="0.2"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7:26" ht="15.75" customHeight="1" x14ac:dyDescent="0.2"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7:26" ht="15.75" customHeight="1" x14ac:dyDescent="0.2"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7:26" ht="15.75" customHeight="1" x14ac:dyDescent="0.2"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7:26" ht="15.75" customHeight="1" x14ac:dyDescent="0.2"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7:26" ht="15.75" customHeight="1" x14ac:dyDescent="0.2"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7:26" ht="15.75" customHeight="1" x14ac:dyDescent="0.2"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7:26" ht="15.75" customHeight="1" x14ac:dyDescent="0.2"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7:26" ht="15.75" customHeight="1" x14ac:dyDescent="0.2"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7:26" ht="15.75" customHeight="1" x14ac:dyDescent="0.2"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7:26" ht="15.75" customHeight="1" x14ac:dyDescent="0.2"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7:26" ht="15.75" customHeight="1" x14ac:dyDescent="0.2"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7:26" ht="15.75" customHeight="1" x14ac:dyDescent="0.2"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7:26" ht="15.75" customHeight="1" x14ac:dyDescent="0.2"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7:26" ht="15.75" customHeight="1" x14ac:dyDescent="0.2"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7:26" ht="15.75" customHeight="1" x14ac:dyDescent="0.2"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7:26" ht="15.75" customHeight="1" x14ac:dyDescent="0.2"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7:26" ht="15.75" customHeight="1" x14ac:dyDescent="0.2"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7:26" ht="15.75" customHeight="1" x14ac:dyDescent="0.2"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7:26" ht="15.75" customHeight="1" x14ac:dyDescent="0.2"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7:26" ht="15.75" customHeight="1" x14ac:dyDescent="0.2"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7:26" ht="15.75" customHeight="1" x14ac:dyDescent="0.2"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7:26" ht="15.75" customHeight="1" x14ac:dyDescent="0.2"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7:26" ht="15.75" customHeight="1" x14ac:dyDescent="0.2"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7:26" ht="15.75" customHeight="1" x14ac:dyDescent="0.2"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7:26" ht="15.75" customHeight="1" x14ac:dyDescent="0.2"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7:26" ht="15.75" customHeight="1" x14ac:dyDescent="0.2"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7:26" ht="15.75" customHeight="1" x14ac:dyDescent="0.2"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7:26" ht="15.75" customHeight="1" x14ac:dyDescent="0.2"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7:26" ht="15.75" customHeight="1" x14ac:dyDescent="0.2"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7:26" ht="15.75" customHeight="1" x14ac:dyDescent="0.2"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7:26" ht="15.75" customHeight="1" x14ac:dyDescent="0.2"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7:26" ht="15.75" customHeight="1" x14ac:dyDescent="0.2"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7:26" ht="15.75" customHeight="1" x14ac:dyDescent="0.2"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7:26" ht="15.75" customHeight="1" x14ac:dyDescent="0.2"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7:26" ht="15.75" customHeight="1" x14ac:dyDescent="0.2"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7:26" ht="15.75" customHeight="1" x14ac:dyDescent="0.2"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7:26" ht="15.75" customHeight="1" x14ac:dyDescent="0.2"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7:26" ht="15.75" customHeight="1" x14ac:dyDescent="0.2"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7:26" ht="15.75" customHeight="1" x14ac:dyDescent="0.2"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7:26" ht="15.75" customHeight="1" x14ac:dyDescent="0.2"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7:26" ht="15.75" customHeight="1" x14ac:dyDescent="0.2"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7:26" ht="15.75" customHeight="1" x14ac:dyDescent="0.2"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7:26" ht="15.75" customHeight="1" x14ac:dyDescent="0.2"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7:26" ht="15.75" customHeight="1" x14ac:dyDescent="0.2"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7:26" ht="15.75" customHeight="1" x14ac:dyDescent="0.2"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7:26" ht="15.75" customHeight="1" x14ac:dyDescent="0.2"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7:26" ht="15.75" customHeight="1" x14ac:dyDescent="0.2"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7:26" ht="15.75" customHeight="1" x14ac:dyDescent="0.2"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7:26" ht="15.75" customHeight="1" x14ac:dyDescent="0.2"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7:26" ht="15.75" customHeight="1" x14ac:dyDescent="0.2"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7:26" ht="15.75" customHeight="1" x14ac:dyDescent="0.2"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7:26" ht="15.75" customHeight="1" x14ac:dyDescent="0.2"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7:26" ht="15.75" customHeight="1" x14ac:dyDescent="0.2"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7:26" ht="15.75" customHeight="1" x14ac:dyDescent="0.2"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7:26" ht="15.75" customHeight="1" x14ac:dyDescent="0.2"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7:26" ht="15.75" customHeight="1" x14ac:dyDescent="0.2"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7:26" ht="15.75" customHeight="1" x14ac:dyDescent="0.2"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7:26" ht="15.75" customHeight="1" x14ac:dyDescent="0.2"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7:26" ht="15.75" customHeight="1" x14ac:dyDescent="0.2"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7:26" ht="15.75" customHeight="1" x14ac:dyDescent="0.2"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7:26" ht="15.75" customHeight="1" x14ac:dyDescent="0.2"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7:26" ht="15.75" customHeight="1" x14ac:dyDescent="0.2"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7:26" ht="15.75" customHeight="1" x14ac:dyDescent="0.2"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7:26" ht="15.75" customHeight="1" x14ac:dyDescent="0.2"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7:26" ht="15.75" customHeight="1" x14ac:dyDescent="0.2"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7:26" ht="15.75" customHeight="1" x14ac:dyDescent="0.2"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7:26" ht="15.75" customHeight="1" x14ac:dyDescent="0.2"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7:26" ht="15.75" customHeight="1" x14ac:dyDescent="0.2"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7:26" ht="15.75" customHeight="1" x14ac:dyDescent="0.2"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7:26" ht="15.75" customHeight="1" x14ac:dyDescent="0.2"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7:26" ht="15.75" customHeight="1" x14ac:dyDescent="0.2"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7:26" ht="15.75" customHeight="1" x14ac:dyDescent="0.2"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7:26" ht="15.75" customHeight="1" x14ac:dyDescent="0.2"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7:26" ht="15.75" customHeight="1" x14ac:dyDescent="0.2"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7:26" ht="15.75" customHeight="1" x14ac:dyDescent="0.2"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7:26" ht="15.75" customHeight="1" x14ac:dyDescent="0.2"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7:26" ht="15.75" customHeight="1" x14ac:dyDescent="0.2"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7:26" ht="15.75" customHeight="1" x14ac:dyDescent="0.2"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7:26" ht="15.75" customHeight="1" x14ac:dyDescent="0.2"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7:26" ht="15.75" customHeight="1" x14ac:dyDescent="0.2"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7:26" ht="15.75" customHeight="1" x14ac:dyDescent="0.2"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7:26" ht="15.75" customHeight="1" x14ac:dyDescent="0.2"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7:26" ht="15.75" customHeight="1" x14ac:dyDescent="0.2"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7:26" ht="15.75" customHeight="1" x14ac:dyDescent="0.2"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7:26" ht="15.75" customHeight="1" x14ac:dyDescent="0.2"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7:26" ht="15.75" customHeight="1" x14ac:dyDescent="0.2"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7:26" ht="15.75" customHeight="1" x14ac:dyDescent="0.2"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7:26" ht="15.75" customHeight="1" x14ac:dyDescent="0.2"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7:26" ht="15.75" customHeight="1" x14ac:dyDescent="0.2"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7:26" ht="15.75" customHeight="1" x14ac:dyDescent="0.2"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7:26" ht="15.75" customHeight="1" x14ac:dyDescent="0.2"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7:26" ht="15.75" customHeight="1" x14ac:dyDescent="0.2"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7:26" ht="15.75" customHeight="1" x14ac:dyDescent="0.2"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7:26" ht="15.75" customHeight="1" x14ac:dyDescent="0.2"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7:26" ht="15.75" customHeight="1" x14ac:dyDescent="0.2"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7:26" ht="15.75" customHeight="1" x14ac:dyDescent="0.2"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7:26" ht="15.75" customHeight="1" x14ac:dyDescent="0.2"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7:26" ht="15.75" customHeight="1" x14ac:dyDescent="0.2"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7:26" ht="15.75" customHeight="1" x14ac:dyDescent="0.2"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7:26" ht="15.75" customHeight="1" x14ac:dyDescent="0.2"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7:26" ht="15.75" customHeight="1" x14ac:dyDescent="0.2"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7:26" ht="15.75" customHeight="1" x14ac:dyDescent="0.2"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7:26" ht="15.75" customHeight="1" x14ac:dyDescent="0.2"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7:26" ht="15.75" customHeight="1" x14ac:dyDescent="0.2"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7:26" ht="15.75" customHeight="1" x14ac:dyDescent="0.2"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7:26" ht="15.75" customHeight="1" x14ac:dyDescent="0.2"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7:26" ht="15.75" customHeight="1" x14ac:dyDescent="0.2"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7:26" ht="15.75" customHeight="1" x14ac:dyDescent="0.2"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7:26" ht="15.75" customHeight="1" x14ac:dyDescent="0.2"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7:26" ht="15.75" customHeight="1" x14ac:dyDescent="0.2"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7:26" ht="15.75" customHeight="1" x14ac:dyDescent="0.2"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7:26" ht="15.75" customHeight="1" x14ac:dyDescent="0.2"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7:26" ht="15.75" customHeight="1" x14ac:dyDescent="0.2"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7:26" ht="15.75" customHeight="1" x14ac:dyDescent="0.2"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7:26" ht="15.75" customHeight="1" x14ac:dyDescent="0.2"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7:26" ht="15.75" customHeight="1" x14ac:dyDescent="0.2"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7:26" ht="15.75" customHeight="1" x14ac:dyDescent="0.2"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7:26" ht="15.75" customHeight="1" x14ac:dyDescent="0.2"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7:26" ht="15.75" customHeight="1" x14ac:dyDescent="0.2"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7:26" ht="15.75" customHeight="1" x14ac:dyDescent="0.2"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7:26" ht="15.75" customHeight="1" x14ac:dyDescent="0.2"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7:26" ht="15.75" customHeight="1" x14ac:dyDescent="0.2"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7:26" ht="15.75" customHeight="1" x14ac:dyDescent="0.2"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7:26" ht="15.75" customHeight="1" x14ac:dyDescent="0.2"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7:26" ht="15.75" customHeight="1" x14ac:dyDescent="0.2"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7:26" ht="15.75" customHeight="1" x14ac:dyDescent="0.2"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7:26" ht="15.75" customHeight="1" x14ac:dyDescent="0.2"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7:26" ht="15.75" customHeight="1" x14ac:dyDescent="0.2"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7:26" ht="15.75" customHeight="1" x14ac:dyDescent="0.2"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7:26" ht="15.75" customHeight="1" x14ac:dyDescent="0.2"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7:26" ht="15.75" customHeight="1" x14ac:dyDescent="0.2"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7:26" ht="15.75" customHeight="1" x14ac:dyDescent="0.2"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7:26" ht="15.75" customHeight="1" x14ac:dyDescent="0.2"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7:26" ht="15.75" customHeight="1" x14ac:dyDescent="0.2"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7:26" ht="15.75" customHeight="1" x14ac:dyDescent="0.2"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7:26" ht="15.75" customHeight="1" x14ac:dyDescent="0.2"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7:26" ht="15.75" customHeight="1" x14ac:dyDescent="0.2"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7:26" ht="15.75" customHeight="1" x14ac:dyDescent="0.2"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7:26" ht="15.75" customHeight="1" x14ac:dyDescent="0.2"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7:26" ht="15.75" customHeight="1" x14ac:dyDescent="0.2"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7:26" ht="15.75" customHeight="1" x14ac:dyDescent="0.2"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7:26" ht="15.75" customHeight="1" x14ac:dyDescent="0.2"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7:26" ht="15.75" customHeight="1" x14ac:dyDescent="0.2"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7:26" ht="15.75" customHeight="1" x14ac:dyDescent="0.2"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7:26" ht="15.75" customHeight="1" x14ac:dyDescent="0.2"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7:26" ht="15.75" customHeight="1" x14ac:dyDescent="0.2"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7:26" ht="15.75" customHeight="1" x14ac:dyDescent="0.2"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7:26" ht="15.75" customHeight="1" x14ac:dyDescent="0.2"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7:26" ht="15.75" customHeight="1" x14ac:dyDescent="0.2"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7:26" ht="15.75" customHeight="1" x14ac:dyDescent="0.2"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7:26" ht="15.75" customHeight="1" x14ac:dyDescent="0.2"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7:26" ht="15.75" customHeight="1" x14ac:dyDescent="0.2"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7:26" ht="15.75" customHeight="1" x14ac:dyDescent="0.2"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7:26" ht="15.75" customHeight="1" x14ac:dyDescent="0.2"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7:26" ht="15.75" customHeight="1" x14ac:dyDescent="0.2"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7:26" ht="15.75" customHeight="1" x14ac:dyDescent="0.2"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7:26" ht="15.75" customHeight="1" x14ac:dyDescent="0.2"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7:26" ht="15.75" customHeight="1" x14ac:dyDescent="0.2"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7:26" ht="15.75" customHeight="1" x14ac:dyDescent="0.2"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7:26" ht="15.75" customHeight="1" x14ac:dyDescent="0.2"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7:26" ht="15.75" customHeight="1" x14ac:dyDescent="0.2"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7:26" ht="15.75" customHeight="1" x14ac:dyDescent="0.2"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7:26" ht="15.75" customHeight="1" x14ac:dyDescent="0.2"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7:26" ht="15.75" customHeight="1" x14ac:dyDescent="0.2"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7:26" ht="15.75" customHeight="1" x14ac:dyDescent="0.2"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7:26" ht="15.75" customHeight="1" x14ac:dyDescent="0.2"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7:26" ht="15.75" customHeight="1" x14ac:dyDescent="0.2"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7:26" ht="15.75" customHeight="1" x14ac:dyDescent="0.2"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7:26" ht="15.75" customHeight="1" x14ac:dyDescent="0.2"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7:26" ht="15.75" customHeight="1" x14ac:dyDescent="0.2"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7:26" ht="15.75" customHeight="1" x14ac:dyDescent="0.2"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7:26" ht="15.75" customHeight="1" x14ac:dyDescent="0.2"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7:26" ht="15.75" customHeight="1" x14ac:dyDescent="0.2"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7:26" ht="15.75" customHeight="1" x14ac:dyDescent="0.2"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7:26" ht="15.75" customHeight="1" x14ac:dyDescent="0.2"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7:26" ht="15.75" customHeight="1" x14ac:dyDescent="0.2"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7:26" ht="15.75" customHeight="1" x14ac:dyDescent="0.2"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7:26" ht="15.75" customHeight="1" x14ac:dyDescent="0.2"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7:26" ht="15.75" customHeight="1" x14ac:dyDescent="0.2"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7:26" ht="15.75" customHeight="1" x14ac:dyDescent="0.2"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7:26" ht="15.75" customHeight="1" x14ac:dyDescent="0.2"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7:26" ht="15.75" customHeight="1" x14ac:dyDescent="0.2"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7:26" ht="15.75" customHeight="1" x14ac:dyDescent="0.2"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7:26" ht="15.75" customHeight="1" x14ac:dyDescent="0.2"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7:26" ht="15.75" customHeight="1" x14ac:dyDescent="0.2"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7:26" ht="15.75" customHeight="1" x14ac:dyDescent="0.2"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7:26" ht="15.75" customHeight="1" x14ac:dyDescent="0.2"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7:26" ht="15.75" customHeight="1" x14ac:dyDescent="0.2"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7:26" ht="15.75" customHeight="1" x14ac:dyDescent="0.2"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7:26" ht="15.75" customHeight="1" x14ac:dyDescent="0.2"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7:26" ht="15.75" customHeight="1" x14ac:dyDescent="0.2"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7:26" ht="15.75" customHeight="1" x14ac:dyDescent="0.2"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7:26" ht="15.75" customHeight="1" x14ac:dyDescent="0.2"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7:26" ht="15.75" customHeight="1" x14ac:dyDescent="0.2"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7:26" ht="15.75" customHeight="1" x14ac:dyDescent="0.2"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7:26" ht="15.75" customHeight="1" x14ac:dyDescent="0.2"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7:26" ht="15.75" customHeight="1" x14ac:dyDescent="0.2"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7:26" ht="15.75" customHeight="1" x14ac:dyDescent="0.2"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7:26" ht="15.75" customHeight="1" x14ac:dyDescent="0.2"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7:26" ht="15.75" customHeight="1" x14ac:dyDescent="0.2"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7:26" ht="15.75" customHeight="1" x14ac:dyDescent="0.2"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7:26" ht="15.75" customHeight="1" x14ac:dyDescent="0.2"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7:26" ht="15.75" customHeight="1" x14ac:dyDescent="0.2"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7:26" ht="15.75" customHeight="1" x14ac:dyDescent="0.2"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7:26" ht="15.75" customHeight="1" x14ac:dyDescent="0.2"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7:26" ht="15.75" customHeight="1" x14ac:dyDescent="0.2"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7:26" ht="15.75" customHeight="1" x14ac:dyDescent="0.2"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7:26" ht="15.75" customHeight="1" x14ac:dyDescent="0.2"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7:26" ht="15.75" customHeight="1" x14ac:dyDescent="0.2"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7:26" ht="15.75" customHeight="1" x14ac:dyDescent="0.2"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7:26" ht="15.75" customHeight="1" x14ac:dyDescent="0.2"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7:26" ht="15.75" customHeight="1" x14ac:dyDescent="0.2"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7:26" ht="15.75" customHeight="1" x14ac:dyDescent="0.2"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7:26" ht="15.75" customHeight="1" x14ac:dyDescent="0.2"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7:26" ht="15.75" customHeight="1" x14ac:dyDescent="0.2"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7:26" ht="15.75" customHeight="1" x14ac:dyDescent="0.2"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7:26" ht="15.75" customHeight="1" x14ac:dyDescent="0.2"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7:26" ht="15.75" customHeight="1" x14ac:dyDescent="0.2"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7:26" ht="15.75" customHeight="1" x14ac:dyDescent="0.2"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7:26" ht="15.75" customHeight="1" x14ac:dyDescent="0.2"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7:26" ht="15.75" customHeight="1" x14ac:dyDescent="0.2"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7:26" ht="15.75" customHeight="1" x14ac:dyDescent="0.2"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7:26" ht="15.75" customHeight="1" x14ac:dyDescent="0.2"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7:26" ht="15.75" customHeight="1" x14ac:dyDescent="0.2"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7:26" ht="15.75" customHeight="1" x14ac:dyDescent="0.2"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7:26" ht="15.75" customHeight="1" x14ac:dyDescent="0.2"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7:26" ht="15.75" customHeight="1" x14ac:dyDescent="0.2"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7:26" ht="15.75" customHeight="1" x14ac:dyDescent="0.2"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7:26" ht="15.75" customHeight="1" x14ac:dyDescent="0.2"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7:26" ht="15.75" customHeight="1" x14ac:dyDescent="0.2"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7:26" ht="15.75" customHeight="1" x14ac:dyDescent="0.2"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7:26" ht="15.75" customHeight="1" x14ac:dyDescent="0.2"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7:26" ht="15.75" customHeight="1" x14ac:dyDescent="0.2"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7:26" ht="15.75" customHeight="1" x14ac:dyDescent="0.2"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7:26" ht="15.75" customHeight="1" x14ac:dyDescent="0.2"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7:26" ht="15.75" customHeight="1" x14ac:dyDescent="0.2"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7:26" ht="15.75" customHeight="1" x14ac:dyDescent="0.2"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7:26" ht="15.75" customHeight="1" x14ac:dyDescent="0.2"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7:26" ht="15.75" customHeight="1" x14ac:dyDescent="0.2"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7:26" ht="15.75" customHeight="1" x14ac:dyDescent="0.2"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7:26" ht="15.75" customHeight="1" x14ac:dyDescent="0.2"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7:26" ht="15.75" customHeight="1" x14ac:dyDescent="0.2"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7:26" ht="15.75" customHeight="1" x14ac:dyDescent="0.2"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7:26" ht="15.75" customHeight="1" x14ac:dyDescent="0.2"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7:26" ht="15.75" customHeight="1" x14ac:dyDescent="0.2"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7:26" ht="15.75" customHeight="1" x14ac:dyDescent="0.2"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7:26" ht="15.75" customHeight="1" x14ac:dyDescent="0.2"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7:26" ht="15.75" customHeight="1" x14ac:dyDescent="0.2"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7:26" ht="15.75" customHeight="1" x14ac:dyDescent="0.2"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7:26" ht="15.75" customHeight="1" x14ac:dyDescent="0.2"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7:26" ht="15.75" customHeight="1" x14ac:dyDescent="0.2"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7:26" ht="15.75" customHeight="1" x14ac:dyDescent="0.2"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7:26" ht="15.75" customHeight="1" x14ac:dyDescent="0.2"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7:26" ht="15.75" customHeight="1" x14ac:dyDescent="0.2"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7:26" ht="15.75" customHeight="1" x14ac:dyDescent="0.2"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7:26" ht="15.75" customHeight="1" x14ac:dyDescent="0.2"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7:26" ht="15.75" customHeight="1" x14ac:dyDescent="0.2"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7:26" ht="15.75" customHeight="1" x14ac:dyDescent="0.2"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7:26" ht="15.75" customHeight="1" x14ac:dyDescent="0.2"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7:26" ht="15.75" customHeight="1" x14ac:dyDescent="0.2"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7:26" ht="15.75" customHeight="1" x14ac:dyDescent="0.2"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7:26" ht="15.75" customHeight="1" x14ac:dyDescent="0.2"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7:26" ht="15.75" customHeight="1" x14ac:dyDescent="0.2"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7:26" ht="15.75" customHeight="1" x14ac:dyDescent="0.2"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7:26" ht="15.75" customHeight="1" x14ac:dyDescent="0.2"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7:26" ht="15.75" customHeight="1" x14ac:dyDescent="0.2"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7:26" ht="15.75" customHeight="1" x14ac:dyDescent="0.2"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7:26" ht="15.75" customHeight="1" x14ac:dyDescent="0.2"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7:26" ht="15.75" customHeight="1" x14ac:dyDescent="0.2"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7:26" ht="15.75" customHeight="1" x14ac:dyDescent="0.2"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7:26" ht="15.75" customHeight="1" x14ac:dyDescent="0.2"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7:26" ht="15.75" customHeight="1" x14ac:dyDescent="0.2"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7:26" ht="15.75" customHeight="1" x14ac:dyDescent="0.2"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7:26" ht="15.75" customHeight="1" x14ac:dyDescent="0.2"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7:26" ht="15.75" customHeight="1" x14ac:dyDescent="0.2"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7:26" ht="15.75" customHeight="1" x14ac:dyDescent="0.2"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7:26" ht="15.75" customHeight="1" x14ac:dyDescent="0.2"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7:26" ht="15.75" customHeight="1" x14ac:dyDescent="0.2"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7:26" ht="15.75" customHeight="1" x14ac:dyDescent="0.2"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7:26" ht="15.75" customHeight="1" x14ac:dyDescent="0.2"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7:26" ht="15.75" customHeight="1" x14ac:dyDescent="0.2"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7:26" ht="15.75" customHeight="1" x14ac:dyDescent="0.2"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7:26" ht="15.75" customHeight="1" x14ac:dyDescent="0.2"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7:26" ht="15.75" customHeight="1" x14ac:dyDescent="0.2"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7:26" ht="15.75" customHeight="1" x14ac:dyDescent="0.2"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7:26" ht="15.75" customHeight="1" x14ac:dyDescent="0.2"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7:26" ht="15.75" customHeight="1" x14ac:dyDescent="0.2"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7:26" ht="15.75" customHeight="1" x14ac:dyDescent="0.2"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7:26" ht="15.75" customHeight="1" x14ac:dyDescent="0.2"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7:26" ht="15.75" customHeight="1" x14ac:dyDescent="0.2"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7:26" ht="15.75" customHeight="1" x14ac:dyDescent="0.2"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7:26" ht="15.75" customHeight="1" x14ac:dyDescent="0.2"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7:26" ht="15.75" customHeight="1" x14ac:dyDescent="0.2"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7:26" ht="15.75" customHeight="1" x14ac:dyDescent="0.2"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7:26" ht="15.75" customHeight="1" x14ac:dyDescent="0.2"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7:26" ht="15.75" customHeight="1" x14ac:dyDescent="0.2"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7:26" ht="15.75" customHeight="1" x14ac:dyDescent="0.2"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7:26" ht="15.75" customHeight="1" x14ac:dyDescent="0.2"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7:26" ht="15.75" customHeight="1" x14ac:dyDescent="0.2"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7:26" ht="15.75" customHeight="1" x14ac:dyDescent="0.2"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7:26" ht="15.75" customHeight="1" x14ac:dyDescent="0.2"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7:26" ht="15.75" customHeight="1" x14ac:dyDescent="0.2"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7:26" ht="15.75" customHeight="1" x14ac:dyDescent="0.2"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7:26" ht="15.75" customHeight="1" x14ac:dyDescent="0.2"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7:26" ht="15.75" customHeight="1" x14ac:dyDescent="0.2"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7:26" ht="15.75" customHeight="1" x14ac:dyDescent="0.2"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7:26" ht="15.75" customHeight="1" x14ac:dyDescent="0.2"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7:26" ht="15.75" customHeight="1" x14ac:dyDescent="0.2"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7:26" ht="15.75" customHeight="1" x14ac:dyDescent="0.2"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7:26" ht="15.75" customHeight="1" x14ac:dyDescent="0.2"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7:26" ht="15.75" customHeight="1" x14ac:dyDescent="0.2"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7:26" ht="15.75" customHeight="1" x14ac:dyDescent="0.2"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7:26" ht="15.75" customHeight="1" x14ac:dyDescent="0.2"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7:26" ht="15.75" customHeight="1" x14ac:dyDescent="0.2"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7:26" ht="15.75" customHeight="1" x14ac:dyDescent="0.2"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7:26" ht="15.75" customHeight="1" x14ac:dyDescent="0.2"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7:26" ht="15.75" customHeight="1" x14ac:dyDescent="0.2"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7:26" ht="15.75" customHeight="1" x14ac:dyDescent="0.2"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7:26" ht="15.75" customHeight="1" x14ac:dyDescent="0.2"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7:26" ht="15.75" customHeight="1" x14ac:dyDescent="0.2"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7:26" ht="15.75" customHeight="1" x14ac:dyDescent="0.2"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7:26" ht="15.75" customHeight="1" x14ac:dyDescent="0.2"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7:26" ht="15.75" customHeight="1" x14ac:dyDescent="0.2"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7:26" ht="15.75" customHeight="1" x14ac:dyDescent="0.2"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7:26" ht="15.75" customHeight="1" x14ac:dyDescent="0.2"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7:26" ht="15.75" customHeight="1" x14ac:dyDescent="0.2"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7:26" ht="15.75" customHeight="1" x14ac:dyDescent="0.2"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7:26" ht="15.75" customHeight="1" x14ac:dyDescent="0.2"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7:26" ht="15.75" customHeight="1" x14ac:dyDescent="0.2"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7:26" ht="15.75" customHeight="1" x14ac:dyDescent="0.2"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7:26" ht="15.75" customHeight="1" x14ac:dyDescent="0.2"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7:26" ht="15.75" customHeight="1" x14ac:dyDescent="0.2"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7:26" ht="15.75" customHeight="1" x14ac:dyDescent="0.2"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7:26" ht="15.75" customHeight="1" x14ac:dyDescent="0.2"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7:26" ht="15.75" customHeight="1" x14ac:dyDescent="0.2"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7:26" ht="15.75" customHeight="1" x14ac:dyDescent="0.2"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7:26" ht="15.75" customHeight="1" x14ac:dyDescent="0.2"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7:26" ht="15.75" customHeight="1" x14ac:dyDescent="0.2"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7:26" ht="15.75" customHeight="1" x14ac:dyDescent="0.2"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7:26" ht="15.75" customHeight="1" x14ac:dyDescent="0.2"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7:26" ht="15.75" customHeight="1" x14ac:dyDescent="0.2"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7:26" ht="15.75" customHeight="1" x14ac:dyDescent="0.2"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7:26" ht="15.75" customHeight="1" x14ac:dyDescent="0.2"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7:26" ht="15.75" customHeight="1" x14ac:dyDescent="0.2"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7:26" ht="15.75" customHeight="1" x14ac:dyDescent="0.2"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7:26" ht="15.75" customHeight="1" x14ac:dyDescent="0.2"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7:26" ht="15.75" customHeight="1" x14ac:dyDescent="0.2"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7:26" ht="15.75" customHeight="1" x14ac:dyDescent="0.2"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7:26" ht="15.75" customHeight="1" x14ac:dyDescent="0.2"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7:26" ht="15.75" customHeight="1" x14ac:dyDescent="0.2"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7:26" ht="15.75" customHeight="1" x14ac:dyDescent="0.2"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7:26" ht="15.75" customHeight="1" x14ac:dyDescent="0.2"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7:26" ht="15.75" customHeight="1" x14ac:dyDescent="0.2"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7:26" ht="15.75" customHeight="1" x14ac:dyDescent="0.2"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7:26" ht="15.75" customHeight="1" x14ac:dyDescent="0.2"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7:26" ht="15.75" customHeight="1" x14ac:dyDescent="0.2"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7:26" ht="15.75" customHeight="1" x14ac:dyDescent="0.2"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7:26" ht="15.75" customHeight="1" x14ac:dyDescent="0.2"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7:26" ht="15.75" customHeight="1" x14ac:dyDescent="0.2"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7:26" ht="15.75" customHeight="1" x14ac:dyDescent="0.2"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7:26" ht="15.75" customHeight="1" x14ac:dyDescent="0.2"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7:26" ht="15.75" customHeight="1" x14ac:dyDescent="0.2"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7:26" ht="15.75" customHeight="1" x14ac:dyDescent="0.2"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7:26" ht="15.75" customHeight="1" x14ac:dyDescent="0.2"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7:26" ht="15.75" customHeight="1" x14ac:dyDescent="0.2"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7:26" ht="15.75" customHeight="1" x14ac:dyDescent="0.2"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7:26" ht="15.75" customHeight="1" x14ac:dyDescent="0.2"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7:26" ht="15.75" customHeight="1" x14ac:dyDescent="0.2"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7:26" ht="15.75" customHeight="1" x14ac:dyDescent="0.2"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7:26" ht="15.75" customHeight="1" x14ac:dyDescent="0.2"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7:26" ht="15.75" customHeight="1" x14ac:dyDescent="0.2"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7:26" ht="15.75" customHeight="1" x14ac:dyDescent="0.2"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7:26" ht="15.75" customHeight="1" x14ac:dyDescent="0.2"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7:26" ht="15.75" customHeight="1" x14ac:dyDescent="0.2"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7:26" ht="15.75" customHeight="1" x14ac:dyDescent="0.2"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7:26" ht="15.75" customHeight="1" x14ac:dyDescent="0.2"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7:26" ht="15.75" customHeight="1" x14ac:dyDescent="0.2"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7:26" ht="15.75" customHeight="1" x14ac:dyDescent="0.2"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7:26" ht="15.75" customHeight="1" x14ac:dyDescent="0.2"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7:26" ht="15.75" customHeight="1" x14ac:dyDescent="0.2"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7:26" ht="15.75" customHeight="1" x14ac:dyDescent="0.2"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7:26" ht="15.75" customHeight="1" x14ac:dyDescent="0.2"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7:26" ht="15.75" customHeight="1" x14ac:dyDescent="0.2"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7:26" ht="15.75" customHeight="1" x14ac:dyDescent="0.2"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7:26" ht="15.75" customHeight="1" x14ac:dyDescent="0.2"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7:26" ht="15.75" customHeight="1" x14ac:dyDescent="0.2"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7:26" ht="15.75" customHeight="1" x14ac:dyDescent="0.2"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7:26" ht="15.75" customHeight="1" x14ac:dyDescent="0.2"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7:26" ht="15.75" customHeight="1" x14ac:dyDescent="0.2"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7:26" ht="15.75" customHeight="1" x14ac:dyDescent="0.2"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7:26" ht="15.75" customHeight="1" x14ac:dyDescent="0.2"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7:26" ht="15.75" customHeight="1" x14ac:dyDescent="0.2"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7:26" ht="15.75" customHeight="1" x14ac:dyDescent="0.2"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7:26" ht="15.75" customHeight="1" x14ac:dyDescent="0.2"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7:26" ht="15.75" customHeight="1" x14ac:dyDescent="0.2"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7:26" ht="15.75" customHeight="1" x14ac:dyDescent="0.2"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7:26" ht="15.75" customHeight="1" x14ac:dyDescent="0.2"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7:26" ht="15.75" customHeight="1" x14ac:dyDescent="0.2"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7:26" ht="15.75" customHeight="1" x14ac:dyDescent="0.2"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7:26" ht="15.75" customHeight="1" x14ac:dyDescent="0.2"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7:26" ht="15.75" customHeight="1" x14ac:dyDescent="0.2"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7:26" ht="15.75" customHeight="1" x14ac:dyDescent="0.2"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7:26" ht="15.75" customHeight="1" x14ac:dyDescent="0.2"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7:26" ht="15.75" customHeight="1" x14ac:dyDescent="0.2"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7:26" ht="15.75" customHeight="1" x14ac:dyDescent="0.2"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7:26" ht="15.75" customHeight="1" x14ac:dyDescent="0.2"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7:26" ht="15.75" customHeight="1" x14ac:dyDescent="0.2"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7:26" ht="15.75" customHeight="1" x14ac:dyDescent="0.2"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7:26" ht="15.75" customHeight="1" x14ac:dyDescent="0.2"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7:26" ht="15.75" customHeight="1" x14ac:dyDescent="0.2"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7:26" ht="15.75" customHeight="1" x14ac:dyDescent="0.2"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7:26" ht="15.75" customHeight="1" x14ac:dyDescent="0.2"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7:26" ht="15.75" customHeight="1" x14ac:dyDescent="0.2"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7:26" ht="15.75" customHeight="1" x14ac:dyDescent="0.2"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7:26" ht="15.75" customHeight="1" x14ac:dyDescent="0.2"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7:26" ht="15.75" customHeight="1" x14ac:dyDescent="0.2"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7:26" ht="15.75" customHeight="1" x14ac:dyDescent="0.2"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7:26" ht="15.75" customHeight="1" x14ac:dyDescent="0.2"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7:26" ht="15.75" customHeight="1" x14ac:dyDescent="0.2"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7:26" ht="15.75" customHeight="1" x14ac:dyDescent="0.2"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7:26" ht="15.75" customHeight="1" x14ac:dyDescent="0.2"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7:26" ht="15.75" customHeight="1" x14ac:dyDescent="0.2"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7:26" ht="15.75" customHeight="1" x14ac:dyDescent="0.2"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7:26" ht="15.75" customHeight="1" x14ac:dyDescent="0.2"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7:26" ht="15.75" customHeight="1" x14ac:dyDescent="0.2"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7:26" ht="15.75" customHeight="1" x14ac:dyDescent="0.2"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7:26" ht="15.75" customHeight="1" x14ac:dyDescent="0.2"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7:26" ht="15.75" customHeight="1" x14ac:dyDescent="0.2"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7:26" ht="15.75" customHeight="1" x14ac:dyDescent="0.2"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7:26" ht="15.75" customHeight="1" x14ac:dyDescent="0.2"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7:26" ht="15.75" customHeight="1" x14ac:dyDescent="0.2"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7:26" ht="15.75" customHeight="1" x14ac:dyDescent="0.2"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7:26" ht="15.75" customHeight="1" x14ac:dyDescent="0.2"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7:26" ht="15.75" customHeight="1" x14ac:dyDescent="0.2"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7:26" ht="15.75" customHeight="1" x14ac:dyDescent="0.2"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7:26" ht="15.75" customHeight="1" x14ac:dyDescent="0.2"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7:26" ht="15.75" customHeight="1" x14ac:dyDescent="0.2"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7:26" ht="15.75" customHeight="1" x14ac:dyDescent="0.2"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7:26" ht="15.75" customHeight="1" x14ac:dyDescent="0.2"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7:26" ht="15.75" customHeight="1" x14ac:dyDescent="0.2"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7:26" ht="15.75" customHeight="1" x14ac:dyDescent="0.2"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7:26" ht="15.75" customHeight="1" x14ac:dyDescent="0.2"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7:26" ht="15.75" customHeight="1" x14ac:dyDescent="0.2"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7:26" ht="15.75" customHeight="1" x14ac:dyDescent="0.2"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7:26" ht="15.75" customHeight="1" x14ac:dyDescent="0.2"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7:26" ht="15.75" customHeight="1" x14ac:dyDescent="0.2"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7:26" ht="15.75" customHeight="1" x14ac:dyDescent="0.2"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7:26" ht="15.75" customHeight="1" x14ac:dyDescent="0.2"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7:26" ht="15.75" customHeight="1" x14ac:dyDescent="0.2"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7:26" ht="15.75" customHeight="1" x14ac:dyDescent="0.2"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7:26" ht="15.75" customHeight="1" x14ac:dyDescent="0.2"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7:26" ht="15.75" customHeight="1" x14ac:dyDescent="0.2"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7:26" ht="15.75" customHeight="1" x14ac:dyDescent="0.2"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7:26" ht="15.75" customHeight="1" x14ac:dyDescent="0.2"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7:26" ht="15.75" customHeight="1" x14ac:dyDescent="0.2"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7:26" ht="15.75" customHeight="1" x14ac:dyDescent="0.2"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7:26" ht="15.75" customHeight="1" x14ac:dyDescent="0.2"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7:26" ht="15.75" customHeight="1" x14ac:dyDescent="0.2"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7:26" ht="15.75" customHeight="1" x14ac:dyDescent="0.2"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7:26" ht="15.75" customHeight="1" x14ac:dyDescent="0.2"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7:26" ht="15.75" customHeight="1" x14ac:dyDescent="0.2"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7:26" ht="15.75" customHeight="1" x14ac:dyDescent="0.2"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7:26" ht="15.75" customHeight="1" x14ac:dyDescent="0.2"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7:26" ht="15.75" customHeight="1" x14ac:dyDescent="0.2"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7:26" ht="15.75" customHeight="1" x14ac:dyDescent="0.2"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7:26" ht="15.75" customHeight="1" x14ac:dyDescent="0.2"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7:26" ht="15.75" customHeight="1" x14ac:dyDescent="0.2"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7:26" ht="15.75" customHeight="1" x14ac:dyDescent="0.2"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7:26" ht="15.75" customHeight="1" x14ac:dyDescent="0.2"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7:26" ht="15.75" customHeight="1" x14ac:dyDescent="0.2"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7:26" ht="15.75" customHeight="1" x14ac:dyDescent="0.2"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7:26" ht="15.75" customHeight="1" x14ac:dyDescent="0.2"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7:26" ht="15.75" customHeight="1" x14ac:dyDescent="0.2"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7:26" ht="15.75" customHeight="1" x14ac:dyDescent="0.2"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7:26" ht="15.75" customHeight="1" x14ac:dyDescent="0.2"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7:26" ht="15.75" customHeight="1" x14ac:dyDescent="0.2"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7:26" ht="15.75" customHeight="1" x14ac:dyDescent="0.2"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7:26" ht="15.75" customHeight="1" x14ac:dyDescent="0.2"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7:26" ht="15.75" customHeight="1" x14ac:dyDescent="0.2"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7:26" ht="15.75" customHeight="1" x14ac:dyDescent="0.2"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7:26" ht="15.75" customHeight="1" x14ac:dyDescent="0.2"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7:26" ht="15.75" customHeight="1" x14ac:dyDescent="0.2"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7:26" ht="15.75" customHeight="1" x14ac:dyDescent="0.2"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7:26" ht="15.75" customHeight="1" x14ac:dyDescent="0.2"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7:26" ht="15.75" customHeight="1" x14ac:dyDescent="0.2"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7:26" ht="15.75" customHeight="1" x14ac:dyDescent="0.2"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7:26" ht="15.75" customHeight="1" x14ac:dyDescent="0.2"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7:26" ht="15.75" customHeight="1" x14ac:dyDescent="0.2"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7:26" ht="15.75" customHeight="1" x14ac:dyDescent="0.2"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7:26" ht="15.75" customHeight="1" x14ac:dyDescent="0.2"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7:26" ht="15.75" customHeight="1" x14ac:dyDescent="0.2"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7:26" ht="15.75" customHeight="1" x14ac:dyDescent="0.2"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7:26" ht="15.75" customHeight="1" x14ac:dyDescent="0.2"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7:26" ht="15.75" customHeight="1" x14ac:dyDescent="0.2"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7:26" ht="15.75" customHeight="1" x14ac:dyDescent="0.2"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7:26" ht="15.75" customHeight="1" x14ac:dyDescent="0.2"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7:26" ht="15.75" customHeight="1" x14ac:dyDescent="0.2"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7:26" ht="15.75" customHeight="1" x14ac:dyDescent="0.2"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7:26" ht="15.75" customHeight="1" x14ac:dyDescent="0.2"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7:26" ht="15.75" customHeight="1" x14ac:dyDescent="0.2"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7:26" ht="15.75" customHeight="1" x14ac:dyDescent="0.2"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7:26" ht="15.75" customHeight="1" x14ac:dyDescent="0.2"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7:26" ht="15.75" customHeight="1" x14ac:dyDescent="0.2"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7:26" ht="15.75" customHeight="1" x14ac:dyDescent="0.2"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7:26" ht="15.75" customHeight="1" x14ac:dyDescent="0.2"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7:26" ht="15.75" customHeight="1" x14ac:dyDescent="0.2"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7:26" ht="15.75" customHeight="1" x14ac:dyDescent="0.2"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7:26" ht="15.75" customHeight="1" x14ac:dyDescent="0.2"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7:26" ht="15.75" customHeight="1" x14ac:dyDescent="0.2"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7:26" ht="15.75" customHeight="1" x14ac:dyDescent="0.2"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7:26" ht="15.75" customHeight="1" x14ac:dyDescent="0.2"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7:26" ht="15.75" customHeight="1" x14ac:dyDescent="0.2"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7:26" ht="15.75" customHeight="1" x14ac:dyDescent="0.2"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7:26" ht="15.75" customHeight="1" x14ac:dyDescent="0.2"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7:26" ht="15.75" customHeight="1" x14ac:dyDescent="0.2"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7:26" ht="15.75" customHeight="1" x14ac:dyDescent="0.2"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7:26" ht="15.75" customHeight="1" x14ac:dyDescent="0.2"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7:26" ht="15.75" customHeight="1" x14ac:dyDescent="0.2"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7:26" ht="15.75" customHeight="1" x14ac:dyDescent="0.2"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7:26" ht="15.75" customHeight="1" x14ac:dyDescent="0.2"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7:26" ht="15.75" customHeight="1" x14ac:dyDescent="0.2"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7:26" ht="15.75" customHeight="1" x14ac:dyDescent="0.2"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7:26" ht="15.75" customHeight="1" x14ac:dyDescent="0.2"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7:26" ht="15.75" customHeight="1" x14ac:dyDescent="0.2"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7:26" ht="15.75" customHeight="1" x14ac:dyDescent="0.2"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7:26" ht="15.75" customHeight="1" x14ac:dyDescent="0.2"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7:26" ht="15.75" customHeight="1" x14ac:dyDescent="0.2"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7:26" ht="15.75" customHeight="1" x14ac:dyDescent="0.2"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7:26" ht="15.75" customHeight="1" x14ac:dyDescent="0.2"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7:26" ht="15.75" customHeight="1" x14ac:dyDescent="0.2"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7:26" ht="15.75" customHeight="1" x14ac:dyDescent="0.2"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7:26" ht="15.75" customHeight="1" x14ac:dyDescent="0.2"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7:26" ht="15.75" customHeight="1" x14ac:dyDescent="0.2"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7:26" ht="15.75" customHeight="1" x14ac:dyDescent="0.2"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7:26" ht="15.75" customHeight="1" x14ac:dyDescent="0.2"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7:26" ht="15.75" customHeight="1" x14ac:dyDescent="0.2"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7:26" ht="15.75" customHeight="1" x14ac:dyDescent="0.2"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7:26" ht="15.75" customHeight="1" x14ac:dyDescent="0.2"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7:26" ht="15.75" customHeight="1" x14ac:dyDescent="0.2"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7:26" ht="15.75" customHeight="1" x14ac:dyDescent="0.2"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7:26" ht="15.75" customHeight="1" x14ac:dyDescent="0.2"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7:26" ht="15.75" customHeight="1" x14ac:dyDescent="0.2"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7:26" ht="15.75" customHeight="1" x14ac:dyDescent="0.2"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7:26" ht="15.75" customHeight="1" x14ac:dyDescent="0.2"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7:26" ht="15.75" customHeight="1" x14ac:dyDescent="0.2"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7:26" ht="15.75" customHeight="1" x14ac:dyDescent="0.2"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7:26" ht="15.75" customHeight="1" x14ac:dyDescent="0.2"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7:26" ht="15.75" customHeight="1" x14ac:dyDescent="0.2"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7:26" ht="15.75" customHeight="1" x14ac:dyDescent="0.2"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7:26" ht="15.75" customHeight="1" x14ac:dyDescent="0.2"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7:26" ht="15.75" customHeight="1" x14ac:dyDescent="0.2"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7:26" ht="15.75" customHeight="1" x14ac:dyDescent="0.2"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7:26" ht="15.75" customHeight="1" x14ac:dyDescent="0.2"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7:26" ht="15.75" customHeight="1" x14ac:dyDescent="0.2"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7:26" ht="15.75" customHeight="1" x14ac:dyDescent="0.2"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7:26" ht="15.75" customHeight="1" x14ac:dyDescent="0.2"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7:26" ht="15.75" customHeight="1" x14ac:dyDescent="0.2"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7:26" ht="15.75" customHeight="1" x14ac:dyDescent="0.2"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7:26" ht="15.75" customHeight="1" x14ac:dyDescent="0.2"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7:26" ht="15.75" customHeight="1" x14ac:dyDescent="0.2"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7:26" ht="15.75" customHeight="1" x14ac:dyDescent="0.2"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7:26" ht="15.75" customHeight="1" x14ac:dyDescent="0.2"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7:26" ht="15.75" customHeight="1" x14ac:dyDescent="0.2"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7:26" ht="15.75" customHeight="1" x14ac:dyDescent="0.2"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7:26" ht="15.75" customHeight="1" x14ac:dyDescent="0.2"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7:26" ht="15.75" customHeight="1" x14ac:dyDescent="0.2"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7:26" ht="15.75" customHeight="1" x14ac:dyDescent="0.2"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7:26" ht="15.75" customHeight="1" x14ac:dyDescent="0.2"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7:26" ht="15.75" customHeight="1" x14ac:dyDescent="0.2"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7:26" ht="15.75" customHeight="1" x14ac:dyDescent="0.2"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7:26" ht="15.75" customHeight="1" x14ac:dyDescent="0.2"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7:26" ht="15.75" customHeight="1" x14ac:dyDescent="0.2"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7:26" ht="15.75" customHeight="1" x14ac:dyDescent="0.2"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7:26" ht="15.75" customHeight="1" x14ac:dyDescent="0.2"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7:26" ht="15.75" customHeight="1" x14ac:dyDescent="0.2"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7:26" ht="15.75" customHeight="1" x14ac:dyDescent="0.2"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7:26" ht="15.75" customHeight="1" x14ac:dyDescent="0.2"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7:26" ht="15.75" customHeight="1" x14ac:dyDescent="0.2"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7:26" ht="15.75" customHeight="1" x14ac:dyDescent="0.2"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7:26" ht="15.75" customHeight="1" x14ac:dyDescent="0.2"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7:26" ht="15.75" customHeight="1" x14ac:dyDescent="0.2"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7:26" ht="15.75" customHeight="1" x14ac:dyDescent="0.2"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7:26" ht="15.75" customHeight="1" x14ac:dyDescent="0.2"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7:26" ht="15.75" customHeight="1" x14ac:dyDescent="0.2"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7:26" ht="15.75" customHeight="1" x14ac:dyDescent="0.2"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7:26" ht="15.75" customHeight="1" x14ac:dyDescent="0.2"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7:26" ht="15.75" customHeight="1" x14ac:dyDescent="0.2"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7:26" ht="15.75" customHeight="1" x14ac:dyDescent="0.2"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7:26" ht="15.75" customHeight="1" x14ac:dyDescent="0.2"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7:26" ht="15.75" customHeight="1" x14ac:dyDescent="0.2"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7:26" ht="15.75" customHeight="1" x14ac:dyDescent="0.2"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7:26" ht="15.75" customHeight="1" x14ac:dyDescent="0.2"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7:26" ht="15.75" customHeight="1" x14ac:dyDescent="0.2"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7:26" ht="15.75" customHeight="1" x14ac:dyDescent="0.2"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7:26" ht="15.75" customHeight="1" x14ac:dyDescent="0.2"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7:26" ht="15.75" customHeight="1" x14ac:dyDescent="0.2"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7:26" ht="15.75" customHeight="1" x14ac:dyDescent="0.2"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7:26" ht="15.75" customHeight="1" x14ac:dyDescent="0.2"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7:26" ht="15.75" customHeight="1" x14ac:dyDescent="0.2"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7:26" ht="15.75" customHeight="1" x14ac:dyDescent="0.2"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7:26" ht="15.75" customHeight="1" x14ac:dyDescent="0.2"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7:26" ht="15.75" customHeight="1" x14ac:dyDescent="0.2"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7:26" ht="15.75" customHeight="1" x14ac:dyDescent="0.2"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7:26" ht="15.75" customHeight="1" x14ac:dyDescent="0.2"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7:26" ht="15.75" customHeight="1" x14ac:dyDescent="0.2"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7:26" ht="15.75" customHeight="1" x14ac:dyDescent="0.2"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7:26" ht="15.75" customHeight="1" x14ac:dyDescent="0.2"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7:26" ht="15.75" customHeight="1" x14ac:dyDescent="0.2"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7:26" ht="15.75" customHeight="1" x14ac:dyDescent="0.2"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7:26" ht="15.75" customHeight="1" x14ac:dyDescent="0.2"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7:26" ht="15.75" customHeight="1" x14ac:dyDescent="0.2"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7:26" ht="15.75" customHeight="1" x14ac:dyDescent="0.2"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7:26" ht="15.75" customHeight="1" x14ac:dyDescent="0.2"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7:26" ht="15.75" customHeight="1" x14ac:dyDescent="0.2"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7:26" ht="15.75" customHeight="1" x14ac:dyDescent="0.2"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7:26" ht="15.75" customHeight="1" x14ac:dyDescent="0.2"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7:26" ht="15.75" customHeight="1" x14ac:dyDescent="0.2"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7:26" ht="15.75" customHeight="1" x14ac:dyDescent="0.2"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7:26" ht="15.75" customHeight="1" x14ac:dyDescent="0.2"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7:26" ht="15.75" customHeight="1" x14ac:dyDescent="0.2"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7:26" ht="15.75" customHeight="1" x14ac:dyDescent="0.2"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7:26" ht="15.75" customHeight="1" x14ac:dyDescent="0.2"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7:26" ht="15.75" customHeight="1" x14ac:dyDescent="0.2"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7:26" ht="15.75" customHeight="1" x14ac:dyDescent="0.2"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7:26" ht="15.75" customHeight="1" x14ac:dyDescent="0.2"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7:26" ht="15.75" customHeight="1" x14ac:dyDescent="0.2"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7:26" ht="15.75" customHeight="1" x14ac:dyDescent="0.2"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7:26" ht="15.75" customHeight="1" x14ac:dyDescent="0.2"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7:26" ht="15.75" customHeight="1" x14ac:dyDescent="0.2"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7:26" ht="15.75" customHeight="1" x14ac:dyDescent="0.2"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7:26" ht="15.75" customHeight="1" x14ac:dyDescent="0.2"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7:26" ht="15.75" customHeight="1" x14ac:dyDescent="0.2"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7:26" ht="15.75" customHeight="1" x14ac:dyDescent="0.2"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7:26" ht="15.75" customHeight="1" x14ac:dyDescent="0.2"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7:26" ht="15.75" customHeight="1" x14ac:dyDescent="0.2"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7:26" ht="15.75" customHeight="1" x14ac:dyDescent="0.2"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7:26" ht="15.75" customHeight="1" x14ac:dyDescent="0.2"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7:26" ht="15.75" customHeight="1" x14ac:dyDescent="0.2"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7:26" ht="15.75" customHeight="1" x14ac:dyDescent="0.2"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7:26" ht="15.75" customHeight="1" x14ac:dyDescent="0.2"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7:26" ht="15.75" customHeight="1" x14ac:dyDescent="0.2"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7:26" ht="15.75" customHeight="1" x14ac:dyDescent="0.2"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7:26" ht="15.75" customHeight="1" x14ac:dyDescent="0.2"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7:26" ht="15.75" customHeight="1" x14ac:dyDescent="0.2"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7:26" ht="15.75" customHeight="1" x14ac:dyDescent="0.2"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7:26" ht="15.75" customHeight="1" x14ac:dyDescent="0.2"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7:26" ht="15.75" customHeight="1" x14ac:dyDescent="0.2"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7:26" ht="15.75" customHeight="1" x14ac:dyDescent="0.2"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7:26" ht="15.75" customHeight="1" x14ac:dyDescent="0.2"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7:26" ht="15.75" customHeight="1" x14ac:dyDescent="0.2"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7:26" ht="15.75" customHeight="1" x14ac:dyDescent="0.2"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7:26" ht="15.75" customHeight="1" x14ac:dyDescent="0.2"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7:26" ht="15.75" customHeight="1" x14ac:dyDescent="0.2"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7:26" ht="15.75" customHeight="1" x14ac:dyDescent="0.2"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7:26" ht="15.75" customHeight="1" x14ac:dyDescent="0.2"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7:26" ht="15.75" customHeight="1" x14ac:dyDescent="0.2"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7:26" ht="15.75" customHeight="1" x14ac:dyDescent="0.2"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7:26" ht="15.75" customHeight="1" x14ac:dyDescent="0.2"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7:26" ht="15.75" customHeight="1" x14ac:dyDescent="0.2"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7:26" ht="15.75" customHeight="1" x14ac:dyDescent="0.2"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7:26" ht="15.75" customHeight="1" x14ac:dyDescent="0.2"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7:26" ht="15.75" customHeight="1" x14ac:dyDescent="0.2"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7:26" ht="15.75" customHeight="1" x14ac:dyDescent="0.2"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7:26" ht="15.75" customHeight="1" x14ac:dyDescent="0.2"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7:26" ht="15.75" customHeight="1" x14ac:dyDescent="0.2"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7:26" ht="15.75" customHeight="1" x14ac:dyDescent="0.2"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7:26" ht="15.75" customHeight="1" x14ac:dyDescent="0.2"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7:26" ht="15.75" customHeight="1" x14ac:dyDescent="0.2"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7:26" ht="15.75" customHeight="1" x14ac:dyDescent="0.2"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7:26" ht="15.75" customHeight="1" x14ac:dyDescent="0.2"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7:26" ht="15.75" customHeight="1" x14ac:dyDescent="0.2"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7:26" ht="15.75" customHeight="1" x14ac:dyDescent="0.2"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7:26" ht="15.75" customHeight="1" x14ac:dyDescent="0.2"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7:26" ht="15.75" customHeight="1" x14ac:dyDescent="0.2"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7:26" ht="15.75" customHeight="1" x14ac:dyDescent="0.2"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7:26" ht="15.75" customHeight="1" x14ac:dyDescent="0.2"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7:26" ht="15.75" customHeight="1" x14ac:dyDescent="0.2"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7:26" ht="15.75" customHeight="1" x14ac:dyDescent="0.2"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7:26" ht="15.75" customHeight="1" x14ac:dyDescent="0.2"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7:26" ht="15.75" customHeight="1" x14ac:dyDescent="0.2"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7:26" ht="15.75" customHeight="1" x14ac:dyDescent="0.2"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7:26" ht="15.75" customHeight="1" x14ac:dyDescent="0.2"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7:26" ht="15.75" customHeight="1" x14ac:dyDescent="0.2"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7:26" ht="15.75" customHeight="1" x14ac:dyDescent="0.2"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7:26" ht="15.75" customHeight="1" x14ac:dyDescent="0.2"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7:26" ht="15.75" customHeight="1" x14ac:dyDescent="0.2"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7:26" ht="15.75" customHeight="1" x14ac:dyDescent="0.2"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7:26" ht="15.75" customHeight="1" x14ac:dyDescent="0.2"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7:26" ht="15.75" customHeight="1" x14ac:dyDescent="0.2"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7:26" ht="15.75" customHeight="1" x14ac:dyDescent="0.2"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7:26" ht="15.75" customHeight="1" x14ac:dyDescent="0.2"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7:26" ht="15.75" customHeight="1" x14ac:dyDescent="0.2"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7:26" ht="15.75" customHeight="1" x14ac:dyDescent="0.2"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7:26" ht="15.75" customHeight="1" x14ac:dyDescent="0.2"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7:26" ht="15.75" customHeight="1" x14ac:dyDescent="0.2"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7:26" ht="15.75" customHeight="1" x14ac:dyDescent="0.2"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7:26" ht="15.75" customHeight="1" x14ac:dyDescent="0.2"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7:26" ht="15.75" customHeight="1" x14ac:dyDescent="0.2"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7:26" ht="15.75" customHeight="1" x14ac:dyDescent="0.2"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7:26" ht="15.75" customHeight="1" x14ac:dyDescent="0.2"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7:26" ht="15.75" customHeight="1" x14ac:dyDescent="0.2"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7:26" ht="15.75" customHeight="1" x14ac:dyDescent="0.2"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7:26" ht="15.75" customHeight="1" x14ac:dyDescent="0.2"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7:26" ht="15.75" customHeight="1" x14ac:dyDescent="0.2"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7:26" ht="15.75" customHeight="1" x14ac:dyDescent="0.2"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7:26" ht="15.75" customHeight="1" x14ac:dyDescent="0.2"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7:26" ht="15.75" customHeight="1" x14ac:dyDescent="0.2"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7:26" ht="15.75" customHeight="1" x14ac:dyDescent="0.2"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7:26" ht="15.75" customHeight="1" x14ac:dyDescent="0.2"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7:26" ht="15.75" customHeight="1" x14ac:dyDescent="0.2"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7:26" ht="15.75" customHeight="1" x14ac:dyDescent="0.2"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7:26" ht="15.75" customHeight="1" x14ac:dyDescent="0.2"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7:26" ht="15.75" customHeight="1" x14ac:dyDescent="0.2"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1">
    <mergeCell ref="A1:D1"/>
    <mergeCell ref="A40:D40"/>
    <mergeCell ref="A4:D4"/>
    <mergeCell ref="A26:D26"/>
    <mergeCell ref="A39:D39"/>
    <mergeCell ref="A15:D15"/>
    <mergeCell ref="A43:D43"/>
    <mergeCell ref="A41:D41"/>
    <mergeCell ref="A2:D2"/>
    <mergeCell ref="A42:D42"/>
    <mergeCell ref="A36:D36"/>
  </mergeCells>
  <pageMargins left="0.75" right="0.75" top="1" bottom="1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1"/>
  <sheetViews>
    <sheetView showGridLines="0" tabSelected="1" topLeftCell="A33" zoomScaleNormal="100" workbookViewId="0">
      <selection activeCell="A41" sqref="A41"/>
    </sheetView>
  </sheetViews>
  <sheetFormatPr defaultColWidth="14.390625" defaultRowHeight="15" x14ac:dyDescent="0.2"/>
  <cols>
    <col min="1" max="1" width="36.05078125" style="1" customWidth="1"/>
    <col min="2" max="2" width="16.0078125" style="1" customWidth="1"/>
    <col min="3" max="10" width="13.046875" style="1" customWidth="1"/>
    <col min="11" max="11" width="94.97265625" style="2" customWidth="1"/>
  </cols>
  <sheetData>
    <row r="1" spans="1:26" ht="24" customHeight="1" x14ac:dyDescent="0.2">
      <c r="A1" s="20" t="s">
        <v>127</v>
      </c>
      <c r="B1" s="21"/>
      <c r="C1" s="21"/>
      <c r="D1" s="21"/>
      <c r="E1" s="21"/>
      <c r="F1" s="21"/>
      <c r="G1" s="21"/>
      <c r="H1" s="21"/>
      <c r="I1" s="21"/>
      <c r="J1" s="21"/>
      <c r="K1" s="22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9.75" customHeight="1" x14ac:dyDescent="0.2">
      <c r="A2" s="26" t="s">
        <v>128</v>
      </c>
      <c r="B2" s="21"/>
      <c r="C2" s="21"/>
      <c r="D2" s="21"/>
      <c r="E2" s="21"/>
      <c r="F2" s="21"/>
      <c r="G2" s="21"/>
      <c r="H2" s="21"/>
      <c r="I2" s="21"/>
      <c r="J2" s="21"/>
      <c r="K2" s="2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">
      <c r="A3" s="4"/>
      <c r="B3" s="4"/>
      <c r="C3" s="6"/>
      <c r="D3" s="6"/>
      <c r="E3" s="6"/>
      <c r="F3" s="6"/>
      <c r="G3" s="6"/>
      <c r="H3" s="6"/>
      <c r="I3" s="6"/>
      <c r="J3" s="6"/>
      <c r="K3" s="6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9.5" customHeight="1" x14ac:dyDescent="0.2">
      <c r="A4" s="30" t="s">
        <v>129</v>
      </c>
      <c r="B4" s="24"/>
      <c r="C4" s="24"/>
      <c r="D4" s="24"/>
      <c r="E4" s="24"/>
      <c r="F4" s="24"/>
      <c r="G4" s="24"/>
      <c r="H4" s="24"/>
      <c r="I4" s="24"/>
      <c r="J4" s="24"/>
      <c r="K4" s="25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7" customHeight="1" x14ac:dyDescent="0.2">
      <c r="A5" s="8" t="s">
        <v>48</v>
      </c>
      <c r="B5" s="8" t="s">
        <v>49</v>
      </c>
      <c r="C5" s="8" t="s">
        <v>50</v>
      </c>
      <c r="D5" s="8" t="s">
        <v>51</v>
      </c>
      <c r="E5" s="8" t="s">
        <v>130</v>
      </c>
      <c r="F5" s="8" t="s">
        <v>131</v>
      </c>
      <c r="G5" s="8" t="s">
        <v>132</v>
      </c>
      <c r="H5" s="8" t="s">
        <v>133</v>
      </c>
      <c r="I5" s="8" t="s">
        <v>134</v>
      </c>
      <c r="J5" s="8" t="s">
        <v>135</v>
      </c>
      <c r="K5" s="8" t="s">
        <v>52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">
      <c r="A6" s="4" t="s">
        <v>136</v>
      </c>
      <c r="B6" s="4" t="s">
        <v>54</v>
      </c>
      <c r="C6" s="6" t="s">
        <v>137</v>
      </c>
      <c r="D6" s="6" t="s">
        <v>137</v>
      </c>
      <c r="E6" s="6" t="s">
        <v>137</v>
      </c>
      <c r="F6" s="6" t="s">
        <v>137</v>
      </c>
      <c r="G6" s="6" t="s">
        <v>137</v>
      </c>
      <c r="H6" s="6" t="s">
        <v>137</v>
      </c>
      <c r="I6" s="6" t="s">
        <v>137</v>
      </c>
      <c r="J6" s="6" t="s">
        <v>138</v>
      </c>
      <c r="K6" s="11" t="s">
        <v>139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43.5" customHeight="1" x14ac:dyDescent="0.2">
      <c r="A7" s="11" t="s">
        <v>142</v>
      </c>
      <c r="B7" s="11" t="s">
        <v>61</v>
      </c>
      <c r="C7" s="7" t="s">
        <v>62</v>
      </c>
      <c r="D7" s="7" t="s">
        <v>62</v>
      </c>
      <c r="E7" s="7" t="s">
        <v>62</v>
      </c>
      <c r="F7" s="7" t="s">
        <v>62</v>
      </c>
      <c r="G7" s="7" t="s">
        <v>62</v>
      </c>
      <c r="H7" s="7" t="s">
        <v>62</v>
      </c>
      <c r="I7" s="7" t="s">
        <v>62</v>
      </c>
      <c r="J7" s="7" t="s">
        <v>62</v>
      </c>
      <c r="K7" s="11" t="s">
        <v>143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2">
      <c r="A8" s="4" t="s">
        <v>140</v>
      </c>
      <c r="B8" s="4" t="s">
        <v>54</v>
      </c>
      <c r="C8" s="6" t="s">
        <v>105</v>
      </c>
      <c r="D8" s="6" t="s">
        <v>105</v>
      </c>
      <c r="E8" s="6" t="s">
        <v>105</v>
      </c>
      <c r="F8" s="6" t="s">
        <v>105</v>
      </c>
      <c r="G8" s="6" t="s">
        <v>137</v>
      </c>
      <c r="H8" s="6" t="s">
        <v>137</v>
      </c>
      <c r="I8" s="6" t="s">
        <v>137</v>
      </c>
      <c r="J8" s="6" t="s">
        <v>137</v>
      </c>
      <c r="K8" s="11" t="s">
        <v>141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">
      <c r="A9" s="11" t="s">
        <v>64</v>
      </c>
      <c r="B9" s="11" t="s">
        <v>61</v>
      </c>
      <c r="C9" s="7" t="s">
        <v>62</v>
      </c>
      <c r="D9" s="7" t="s">
        <v>62</v>
      </c>
      <c r="E9" s="7" t="s">
        <v>62</v>
      </c>
      <c r="F9" s="7" t="s">
        <v>62</v>
      </c>
      <c r="G9" s="7" t="s">
        <v>62</v>
      </c>
      <c r="H9" s="7" t="s">
        <v>62</v>
      </c>
      <c r="I9" s="7" t="s">
        <v>62</v>
      </c>
      <c r="J9" s="7" t="s">
        <v>62</v>
      </c>
      <c r="K9" s="7" t="s">
        <v>63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43.5" customHeight="1" x14ac:dyDescent="0.2">
      <c r="A10" s="11" t="s">
        <v>144</v>
      </c>
      <c r="B10" s="11" t="s">
        <v>61</v>
      </c>
      <c r="C10" s="7" t="s">
        <v>71</v>
      </c>
      <c r="D10" s="7" t="s">
        <v>145</v>
      </c>
      <c r="E10" s="7" t="s">
        <v>145</v>
      </c>
      <c r="F10" s="7" t="s">
        <v>145</v>
      </c>
      <c r="G10" s="7" t="s">
        <v>146</v>
      </c>
      <c r="H10" s="7" t="s">
        <v>146</v>
      </c>
      <c r="I10" s="7" t="s">
        <v>146</v>
      </c>
      <c r="J10" s="7" t="s">
        <v>146</v>
      </c>
      <c r="K10" s="11" t="s">
        <v>147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2">
      <c r="A11" s="4" t="s">
        <v>256</v>
      </c>
      <c r="B11" s="4" t="s">
        <v>41</v>
      </c>
      <c r="C11" s="6" t="s">
        <v>138</v>
      </c>
      <c r="D11" s="6" t="s">
        <v>138</v>
      </c>
      <c r="E11" s="6" t="s">
        <v>148</v>
      </c>
      <c r="F11" s="6" t="s">
        <v>148</v>
      </c>
      <c r="G11" s="6" t="s">
        <v>148</v>
      </c>
      <c r="H11" s="6" t="s">
        <v>148</v>
      </c>
      <c r="I11" s="6" t="s">
        <v>149</v>
      </c>
      <c r="J11" s="6" t="s">
        <v>149</v>
      </c>
      <c r="K11" s="11" t="s">
        <v>150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" customHeight="1" x14ac:dyDescent="0.2">
      <c r="A12" s="4" t="s">
        <v>151</v>
      </c>
      <c r="B12" s="4" t="s">
        <v>72</v>
      </c>
      <c r="C12" s="6" t="s">
        <v>137</v>
      </c>
      <c r="D12" s="6" t="s">
        <v>137</v>
      </c>
      <c r="E12" s="6" t="s">
        <v>137</v>
      </c>
      <c r="F12" s="6" t="s">
        <v>138</v>
      </c>
      <c r="G12" s="6" t="s">
        <v>138</v>
      </c>
      <c r="H12" s="6" t="s">
        <v>138</v>
      </c>
      <c r="I12" s="6" t="s">
        <v>138</v>
      </c>
      <c r="J12" s="6" t="s">
        <v>148</v>
      </c>
      <c r="K12" s="11" t="s">
        <v>152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" customHeight="1" x14ac:dyDescent="0.2"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9.5" customHeight="1" x14ac:dyDescent="0.2">
      <c r="A14" s="23" t="s">
        <v>75</v>
      </c>
      <c r="B14" s="24"/>
      <c r="C14" s="24"/>
      <c r="D14" s="24"/>
      <c r="E14" s="24"/>
      <c r="F14" s="24"/>
      <c r="G14" s="24"/>
      <c r="H14" s="24"/>
      <c r="I14" s="24"/>
      <c r="J14" s="24"/>
      <c r="K14" s="2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27" customHeight="1" x14ac:dyDescent="0.2">
      <c r="A15" s="8" t="s">
        <v>48</v>
      </c>
      <c r="B15" s="8" t="s">
        <v>49</v>
      </c>
      <c r="C15" s="8" t="s">
        <v>50</v>
      </c>
      <c r="D15" s="8" t="s">
        <v>51</v>
      </c>
      <c r="E15" s="8" t="s">
        <v>130</v>
      </c>
      <c r="F15" s="8" t="s">
        <v>131</v>
      </c>
      <c r="G15" s="8" t="s">
        <v>132</v>
      </c>
      <c r="H15" s="8" t="s">
        <v>133</v>
      </c>
      <c r="I15" s="8" t="s">
        <v>134</v>
      </c>
      <c r="J15" s="8" t="s">
        <v>135</v>
      </c>
      <c r="K15" s="8" t="s">
        <v>52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" customHeight="1" x14ac:dyDescent="0.2">
      <c r="A16" s="4" t="s">
        <v>153</v>
      </c>
      <c r="B16" s="4" t="s">
        <v>23</v>
      </c>
      <c r="C16" s="6" t="s">
        <v>137</v>
      </c>
      <c r="D16" s="6" t="s">
        <v>138</v>
      </c>
      <c r="E16" s="6" t="s">
        <v>138</v>
      </c>
      <c r="F16" s="6" t="s">
        <v>138</v>
      </c>
      <c r="G16" s="6" t="s">
        <v>138</v>
      </c>
      <c r="H16" s="6" t="s">
        <v>138</v>
      </c>
      <c r="I16" s="6" t="s">
        <v>138</v>
      </c>
      <c r="J16" s="6" t="s">
        <v>148</v>
      </c>
      <c r="K16" s="11" t="s">
        <v>154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2">
      <c r="A17" s="4" t="s">
        <v>155</v>
      </c>
      <c r="B17" s="4" t="s">
        <v>30</v>
      </c>
      <c r="C17" s="6" t="s">
        <v>137</v>
      </c>
      <c r="D17" s="6" t="s">
        <v>137</v>
      </c>
      <c r="E17" s="6" t="s">
        <v>137</v>
      </c>
      <c r="F17" s="6" t="s">
        <v>137</v>
      </c>
      <c r="G17" s="6" t="s">
        <v>138</v>
      </c>
      <c r="H17" s="6" t="s">
        <v>138</v>
      </c>
      <c r="I17" s="6" t="s">
        <v>138</v>
      </c>
      <c r="J17" s="6" t="s">
        <v>138</v>
      </c>
      <c r="K17" s="11" t="s">
        <v>156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2">
      <c r="A18" s="4" t="s">
        <v>157</v>
      </c>
      <c r="B18" s="4" t="s">
        <v>23</v>
      </c>
      <c r="C18" s="6" t="s">
        <v>137</v>
      </c>
      <c r="D18" s="6" t="s">
        <v>137</v>
      </c>
      <c r="E18" s="6" t="s">
        <v>137</v>
      </c>
      <c r="F18" s="6" t="s">
        <v>138</v>
      </c>
      <c r="G18" s="6" t="s">
        <v>138</v>
      </c>
      <c r="H18" s="6" t="s">
        <v>138</v>
      </c>
      <c r="I18" s="6" t="s">
        <v>138</v>
      </c>
      <c r="J18" s="6" t="s">
        <v>138</v>
      </c>
      <c r="K18" s="11" t="s">
        <v>158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2">
      <c r="A19" s="4" t="s">
        <v>159</v>
      </c>
      <c r="B19" s="4" t="s">
        <v>30</v>
      </c>
      <c r="C19" s="6" t="s">
        <v>105</v>
      </c>
      <c r="D19" s="6" t="s">
        <v>105</v>
      </c>
      <c r="E19" s="6" t="s">
        <v>137</v>
      </c>
      <c r="F19" s="6" t="s">
        <v>137</v>
      </c>
      <c r="G19" s="6" t="s">
        <v>137</v>
      </c>
      <c r="H19" s="6" t="s">
        <v>137</v>
      </c>
      <c r="I19" s="6" t="s">
        <v>137</v>
      </c>
      <c r="J19" s="6" t="s">
        <v>138</v>
      </c>
      <c r="K19" s="11" t="s">
        <v>160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2">
      <c r="A20" s="4" t="s">
        <v>161</v>
      </c>
      <c r="B20" s="4" t="s">
        <v>32</v>
      </c>
      <c r="C20" s="6" t="s">
        <v>138</v>
      </c>
      <c r="D20" s="6" t="s">
        <v>138</v>
      </c>
      <c r="E20" s="6" t="s">
        <v>138</v>
      </c>
      <c r="F20" s="6" t="s">
        <v>138</v>
      </c>
      <c r="G20" s="6" t="s">
        <v>148</v>
      </c>
      <c r="H20" s="6" t="s">
        <v>148</v>
      </c>
      <c r="I20" s="6" t="s">
        <v>148</v>
      </c>
      <c r="J20" s="6" t="s">
        <v>149</v>
      </c>
      <c r="K20" s="11" t="s">
        <v>162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4"/>
      <c r="B21" s="4"/>
      <c r="C21" s="6"/>
      <c r="D21" s="6"/>
      <c r="E21" s="6"/>
      <c r="F21" s="6"/>
      <c r="G21" s="6"/>
      <c r="H21" s="6"/>
      <c r="I21" s="6"/>
      <c r="J21" s="6"/>
      <c r="K21" s="6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9"/>
      <c r="B22" s="9"/>
      <c r="C22" s="10"/>
      <c r="D22" s="10"/>
      <c r="E22" s="10"/>
      <c r="F22" s="10"/>
      <c r="G22" s="10"/>
      <c r="H22" s="10"/>
      <c r="I22" s="10"/>
      <c r="J22" s="10"/>
      <c r="K22" s="10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23" t="s">
        <v>84</v>
      </c>
      <c r="B23" s="24"/>
      <c r="C23" s="24"/>
      <c r="D23" s="24"/>
      <c r="E23" s="24"/>
      <c r="F23" s="24"/>
      <c r="G23" s="24"/>
      <c r="H23" s="24"/>
      <c r="I23" s="24"/>
      <c r="J23" s="24"/>
      <c r="K23" s="25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7" customHeight="1" x14ac:dyDescent="0.2">
      <c r="A24" s="8" t="s">
        <v>48</v>
      </c>
      <c r="B24" s="8" t="s">
        <v>49</v>
      </c>
      <c r="C24" s="8" t="s">
        <v>50</v>
      </c>
      <c r="D24" s="8" t="s">
        <v>51</v>
      </c>
      <c r="E24" s="8" t="s">
        <v>130</v>
      </c>
      <c r="F24" s="8" t="s">
        <v>131</v>
      </c>
      <c r="G24" s="8" t="s">
        <v>132</v>
      </c>
      <c r="H24" s="8" t="s">
        <v>133</v>
      </c>
      <c r="I24" s="8" t="s">
        <v>134</v>
      </c>
      <c r="J24" s="8" t="s">
        <v>135</v>
      </c>
      <c r="K24" s="8" t="s">
        <v>52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4" t="s">
        <v>163</v>
      </c>
      <c r="B25" s="4" t="s">
        <v>86</v>
      </c>
      <c r="C25" s="6" t="s">
        <v>137</v>
      </c>
      <c r="D25" s="6" t="s">
        <v>137</v>
      </c>
      <c r="E25" s="6" t="s">
        <v>137</v>
      </c>
      <c r="F25" s="6" t="s">
        <v>138</v>
      </c>
      <c r="G25" s="6" t="s">
        <v>138</v>
      </c>
      <c r="H25" s="6" t="s">
        <v>138</v>
      </c>
      <c r="I25" s="6" t="s">
        <v>138</v>
      </c>
      <c r="J25" s="6" t="s">
        <v>138</v>
      </c>
      <c r="K25" s="11" t="s">
        <v>164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4" t="s">
        <v>165</v>
      </c>
      <c r="B26" s="4" t="s">
        <v>86</v>
      </c>
      <c r="C26" s="6" t="s">
        <v>137</v>
      </c>
      <c r="D26" s="6" t="s">
        <v>137</v>
      </c>
      <c r="E26" s="6" t="s">
        <v>137</v>
      </c>
      <c r="F26" s="6" t="s">
        <v>137</v>
      </c>
      <c r="G26" s="6" t="s">
        <v>137</v>
      </c>
      <c r="H26" s="6" t="s">
        <v>137</v>
      </c>
      <c r="I26" s="6" t="s">
        <v>137</v>
      </c>
      <c r="J26" s="6" t="s">
        <v>138</v>
      </c>
      <c r="K26" s="11" t="s">
        <v>166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4" t="s">
        <v>167</v>
      </c>
      <c r="B27" s="4" t="s">
        <v>54</v>
      </c>
      <c r="C27" s="6" t="s">
        <v>105</v>
      </c>
      <c r="D27" s="6" t="s">
        <v>105</v>
      </c>
      <c r="E27" s="6" t="s">
        <v>137</v>
      </c>
      <c r="F27" s="6" t="s">
        <v>137</v>
      </c>
      <c r="G27" s="6" t="s">
        <v>137</v>
      </c>
      <c r="H27" s="6" t="s">
        <v>137</v>
      </c>
      <c r="I27" s="6" t="s">
        <v>138</v>
      </c>
      <c r="J27" s="6" t="s">
        <v>138</v>
      </c>
      <c r="K27" s="11" t="s">
        <v>168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4" t="s">
        <v>257</v>
      </c>
      <c r="B28" s="4" t="s">
        <v>86</v>
      </c>
      <c r="C28" s="6" t="s">
        <v>105</v>
      </c>
      <c r="D28" s="6" t="s">
        <v>137</v>
      </c>
      <c r="E28" s="6" t="s">
        <v>137</v>
      </c>
      <c r="F28" s="6" t="s">
        <v>137</v>
      </c>
      <c r="G28" s="6" t="s">
        <v>137</v>
      </c>
      <c r="H28" s="6" t="s">
        <v>137</v>
      </c>
      <c r="I28" s="6" t="s">
        <v>137</v>
      </c>
      <c r="J28" s="6" t="s">
        <v>137</v>
      </c>
      <c r="K28" s="11" t="s">
        <v>169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4" t="s">
        <v>170</v>
      </c>
      <c r="B29" s="4" t="s">
        <v>28</v>
      </c>
      <c r="C29" s="6" t="s">
        <v>137</v>
      </c>
      <c r="D29" s="6" t="s">
        <v>138</v>
      </c>
      <c r="E29" s="6" t="s">
        <v>138</v>
      </c>
      <c r="F29" s="6" t="s">
        <v>138</v>
      </c>
      <c r="G29" s="6" t="s">
        <v>138</v>
      </c>
      <c r="H29" s="6" t="s">
        <v>138</v>
      </c>
      <c r="I29" s="6" t="s">
        <v>138</v>
      </c>
      <c r="J29" s="6" t="s">
        <v>138</v>
      </c>
      <c r="K29" s="11" t="s">
        <v>171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4" t="s">
        <v>172</v>
      </c>
      <c r="B30" s="4" t="s">
        <v>173</v>
      </c>
      <c r="C30" s="6" t="s">
        <v>105</v>
      </c>
      <c r="D30" s="6" t="s">
        <v>105</v>
      </c>
      <c r="E30" s="6" t="s">
        <v>137</v>
      </c>
      <c r="F30" s="6" t="s">
        <v>137</v>
      </c>
      <c r="G30" s="6" t="s">
        <v>137</v>
      </c>
      <c r="H30" s="6" t="s">
        <v>138</v>
      </c>
      <c r="I30" s="6" t="s">
        <v>138</v>
      </c>
      <c r="J30" s="6" t="s">
        <v>138</v>
      </c>
      <c r="K30" s="11" t="s">
        <v>174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customHeight="1" x14ac:dyDescent="0.2">
      <c r="A31" s="4" t="s">
        <v>175</v>
      </c>
      <c r="B31" s="4" t="s">
        <v>28</v>
      </c>
      <c r="C31" s="6" t="s">
        <v>137</v>
      </c>
      <c r="D31" s="6" t="s">
        <v>137</v>
      </c>
      <c r="E31" s="6" t="s">
        <v>137</v>
      </c>
      <c r="F31" s="6" t="s">
        <v>137</v>
      </c>
      <c r="G31" s="6" t="s">
        <v>137</v>
      </c>
      <c r="H31" s="6" t="s">
        <v>138</v>
      </c>
      <c r="I31" s="6" t="s">
        <v>138</v>
      </c>
      <c r="J31" s="6" t="s">
        <v>148</v>
      </c>
      <c r="K31" s="11" t="s">
        <v>176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9.5" customHeight="1" x14ac:dyDescent="0.2">
      <c r="A33" s="23" t="s">
        <v>96</v>
      </c>
      <c r="B33" s="24"/>
      <c r="C33" s="24"/>
      <c r="D33" s="24"/>
      <c r="E33" s="24"/>
      <c r="F33" s="24"/>
      <c r="G33" s="24"/>
      <c r="H33" s="24"/>
      <c r="I33" s="24"/>
      <c r="J33" s="24"/>
      <c r="K33" s="25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7" customHeight="1" x14ac:dyDescent="0.2">
      <c r="A34" s="8" t="s">
        <v>48</v>
      </c>
      <c r="B34" s="8" t="s">
        <v>49</v>
      </c>
      <c r="C34" s="8" t="s">
        <v>50</v>
      </c>
      <c r="D34" s="8" t="s">
        <v>51</v>
      </c>
      <c r="E34" s="8" t="s">
        <v>130</v>
      </c>
      <c r="F34" s="8" t="s">
        <v>131</v>
      </c>
      <c r="G34" s="8" t="s">
        <v>132</v>
      </c>
      <c r="H34" s="8" t="s">
        <v>133</v>
      </c>
      <c r="I34" s="8" t="s">
        <v>134</v>
      </c>
      <c r="J34" s="8" t="s">
        <v>135</v>
      </c>
      <c r="K34" s="8" t="s">
        <v>52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43.5" customHeight="1" x14ac:dyDescent="0.2">
      <c r="A35" s="11" t="s">
        <v>60</v>
      </c>
      <c r="B35" s="11" t="s">
        <v>61</v>
      </c>
      <c r="C35" s="7" t="s">
        <v>62</v>
      </c>
      <c r="D35" s="7" t="s">
        <v>62</v>
      </c>
      <c r="E35" s="7" t="s">
        <v>62</v>
      </c>
      <c r="F35" s="7" t="s">
        <v>62</v>
      </c>
      <c r="G35" s="7" t="s">
        <v>62</v>
      </c>
      <c r="H35" s="7" t="s">
        <v>62</v>
      </c>
      <c r="I35" s="7" t="s">
        <v>62</v>
      </c>
      <c r="J35" s="7" t="s">
        <v>62</v>
      </c>
      <c r="K35" s="11" t="s">
        <v>143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11" t="s">
        <v>64</v>
      </c>
      <c r="B36" s="11" t="s">
        <v>61</v>
      </c>
      <c r="C36" s="7" t="s">
        <v>62</v>
      </c>
      <c r="D36" s="7" t="s">
        <v>62</v>
      </c>
      <c r="E36" s="7" t="s">
        <v>62</v>
      </c>
      <c r="F36" s="7" t="s">
        <v>62</v>
      </c>
      <c r="G36" s="7" t="s">
        <v>62</v>
      </c>
      <c r="H36" s="7" t="s">
        <v>62</v>
      </c>
      <c r="I36" s="7" t="s">
        <v>62</v>
      </c>
      <c r="J36" s="7" t="s">
        <v>62</v>
      </c>
      <c r="K36" s="7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43.5" customHeight="1" x14ac:dyDescent="0.2">
      <c r="A37" s="11" t="s">
        <v>177</v>
      </c>
      <c r="B37" s="11" t="s">
        <v>61</v>
      </c>
      <c r="C37" s="7" t="s">
        <v>68</v>
      </c>
      <c r="D37" s="7" t="s">
        <v>178</v>
      </c>
      <c r="E37" s="7" t="s">
        <v>178</v>
      </c>
      <c r="F37" s="7" t="s">
        <v>178</v>
      </c>
      <c r="G37" s="7" t="s">
        <v>179</v>
      </c>
      <c r="H37" s="7" t="s">
        <v>179</v>
      </c>
      <c r="I37" s="7" t="s">
        <v>179</v>
      </c>
      <c r="J37" s="7" t="s">
        <v>179</v>
      </c>
      <c r="K37" s="11" t="s">
        <v>180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43.5" customHeight="1" x14ac:dyDescent="0.2">
      <c r="A38" s="11" t="s">
        <v>70</v>
      </c>
      <c r="B38" s="11" t="s">
        <v>61</v>
      </c>
      <c r="C38" s="7" t="s">
        <v>71</v>
      </c>
      <c r="D38" s="7" t="s">
        <v>145</v>
      </c>
      <c r="E38" s="7" t="s">
        <v>145</v>
      </c>
      <c r="F38" s="7" t="s">
        <v>145</v>
      </c>
      <c r="G38" s="7" t="s">
        <v>146</v>
      </c>
      <c r="H38" s="7" t="s">
        <v>146</v>
      </c>
      <c r="I38" s="7" t="s">
        <v>146</v>
      </c>
      <c r="J38" s="7" t="s">
        <v>146</v>
      </c>
      <c r="K38" s="11" t="s">
        <v>181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4" t="s">
        <v>182</v>
      </c>
      <c r="B39" s="4" t="s">
        <v>72</v>
      </c>
      <c r="C39" s="6" t="s">
        <v>138</v>
      </c>
      <c r="D39" s="6" t="s">
        <v>148</v>
      </c>
      <c r="E39" s="6" t="s">
        <v>148</v>
      </c>
      <c r="F39" s="6" t="s">
        <v>148</v>
      </c>
      <c r="G39" s="6" t="s">
        <v>148</v>
      </c>
      <c r="H39" s="6" t="s">
        <v>149</v>
      </c>
      <c r="I39" s="6" t="s">
        <v>149</v>
      </c>
      <c r="J39" s="6" t="s">
        <v>149</v>
      </c>
      <c r="K39" s="11" t="s">
        <v>183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4" t="s">
        <v>38</v>
      </c>
      <c r="B40" s="4" t="s">
        <v>38</v>
      </c>
      <c r="C40" s="6" t="s">
        <v>137</v>
      </c>
      <c r="D40" s="6" t="s">
        <v>137</v>
      </c>
      <c r="E40" s="6" t="s">
        <v>137</v>
      </c>
      <c r="F40" s="6" t="s">
        <v>137</v>
      </c>
      <c r="G40" s="6" t="s">
        <v>138</v>
      </c>
      <c r="H40" s="6" t="s">
        <v>138</v>
      </c>
      <c r="I40" s="6" t="s">
        <v>138</v>
      </c>
      <c r="J40" s="6" t="s">
        <v>138</v>
      </c>
      <c r="K40" s="11" t="s">
        <v>184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4" t="s">
        <v>256</v>
      </c>
      <c r="B41" s="4" t="s">
        <v>41</v>
      </c>
      <c r="C41" s="6" t="s">
        <v>137</v>
      </c>
      <c r="D41" s="6" t="s">
        <v>138</v>
      </c>
      <c r="E41" s="6" t="s">
        <v>138</v>
      </c>
      <c r="F41" s="6" t="s">
        <v>138</v>
      </c>
      <c r="G41" s="6" t="s">
        <v>148</v>
      </c>
      <c r="H41" s="6" t="s">
        <v>148</v>
      </c>
      <c r="I41" s="6" t="s">
        <v>148</v>
      </c>
      <c r="J41" s="6" t="s">
        <v>149</v>
      </c>
      <c r="K41" s="11" t="s">
        <v>185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9.5" customHeight="1" x14ac:dyDescent="0.2">
      <c r="A43" s="23" t="s">
        <v>186</v>
      </c>
      <c r="B43" s="24"/>
      <c r="C43" s="24"/>
      <c r="D43" s="24"/>
      <c r="E43" s="24"/>
      <c r="F43" s="24"/>
      <c r="G43" s="24"/>
      <c r="H43" s="24"/>
      <c r="I43" s="24"/>
      <c r="J43" s="24"/>
      <c r="K43" s="25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27" customHeight="1" x14ac:dyDescent="0.2">
      <c r="A44" s="8" t="s">
        <v>48</v>
      </c>
      <c r="B44" s="8" t="s">
        <v>49</v>
      </c>
      <c r="C44" s="8" t="s">
        <v>50</v>
      </c>
      <c r="D44" s="8" t="s">
        <v>51</v>
      </c>
      <c r="E44" s="8" t="s">
        <v>130</v>
      </c>
      <c r="F44" s="8" t="s">
        <v>131</v>
      </c>
      <c r="G44" s="8" t="s">
        <v>132</v>
      </c>
      <c r="H44" s="8" t="s">
        <v>133</v>
      </c>
      <c r="I44" s="8" t="s">
        <v>134</v>
      </c>
      <c r="J44" s="8" t="s">
        <v>135</v>
      </c>
      <c r="K44" s="8" t="s">
        <v>52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4" t="s">
        <v>187</v>
      </c>
      <c r="B45" s="4" t="s">
        <v>30</v>
      </c>
      <c r="C45" s="6" t="s">
        <v>105</v>
      </c>
      <c r="D45" s="6" t="s">
        <v>105</v>
      </c>
      <c r="E45" s="6" t="s">
        <v>105</v>
      </c>
      <c r="F45" s="6" t="s">
        <v>105</v>
      </c>
      <c r="G45" s="6" t="s">
        <v>105</v>
      </c>
      <c r="H45" s="6" t="s">
        <v>105</v>
      </c>
      <c r="I45" s="6" t="s">
        <v>105</v>
      </c>
      <c r="J45" s="6" t="s">
        <v>105</v>
      </c>
      <c r="K45" s="11" t="s">
        <v>188</v>
      </c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4" t="s">
        <v>189</v>
      </c>
      <c r="B46" s="4" t="s">
        <v>54</v>
      </c>
      <c r="C46" s="6" t="s">
        <v>137</v>
      </c>
      <c r="D46" s="6" t="s">
        <v>137</v>
      </c>
      <c r="E46" s="6" t="s">
        <v>137</v>
      </c>
      <c r="F46" s="6" t="s">
        <v>137</v>
      </c>
      <c r="G46" s="6" t="s">
        <v>137</v>
      </c>
      <c r="H46" s="6" t="s">
        <v>137</v>
      </c>
      <c r="I46" s="6" t="s">
        <v>137</v>
      </c>
      <c r="J46" s="6" t="s">
        <v>137</v>
      </c>
      <c r="K46" s="11" t="s">
        <v>190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4" t="s">
        <v>191</v>
      </c>
      <c r="B47" s="4" t="s">
        <v>30</v>
      </c>
      <c r="C47" s="6" t="s">
        <v>137</v>
      </c>
      <c r="D47" s="6" t="s">
        <v>137</v>
      </c>
      <c r="E47" s="6" t="s">
        <v>137</v>
      </c>
      <c r="F47" s="6" t="s">
        <v>137</v>
      </c>
      <c r="G47" s="6" t="s">
        <v>137</v>
      </c>
      <c r="H47" s="6" t="s">
        <v>137</v>
      </c>
      <c r="I47" s="6" t="s">
        <v>138</v>
      </c>
      <c r="J47" s="6" t="s">
        <v>138</v>
      </c>
      <c r="K47" s="11" t="s">
        <v>192</v>
      </c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4" t="s">
        <v>193</v>
      </c>
      <c r="B48" s="4" t="s">
        <v>28</v>
      </c>
      <c r="C48" s="6" t="s">
        <v>137</v>
      </c>
      <c r="D48" s="6" t="s">
        <v>137</v>
      </c>
      <c r="E48" s="6" t="s">
        <v>137</v>
      </c>
      <c r="F48" s="6" t="s">
        <v>138</v>
      </c>
      <c r="G48" s="6" t="s">
        <v>138</v>
      </c>
      <c r="H48" s="6" t="s">
        <v>138</v>
      </c>
      <c r="I48" s="6" t="s">
        <v>138</v>
      </c>
      <c r="J48" s="6" t="s">
        <v>138</v>
      </c>
      <c r="K48" s="11" t="s">
        <v>194</v>
      </c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4" t="s">
        <v>195</v>
      </c>
      <c r="B49" s="4" t="s">
        <v>23</v>
      </c>
      <c r="C49" s="6" t="s">
        <v>137</v>
      </c>
      <c r="D49" s="6" t="s">
        <v>137</v>
      </c>
      <c r="E49" s="6" t="s">
        <v>137</v>
      </c>
      <c r="F49" s="6" t="s">
        <v>137</v>
      </c>
      <c r="G49" s="6" t="s">
        <v>137</v>
      </c>
      <c r="H49" s="6" t="s">
        <v>138</v>
      </c>
      <c r="I49" s="6" t="s">
        <v>138</v>
      </c>
      <c r="J49" s="6" t="s">
        <v>138</v>
      </c>
      <c r="K49" s="11" t="s">
        <v>196</v>
      </c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4" t="s">
        <v>197</v>
      </c>
      <c r="B50" s="4" t="s">
        <v>86</v>
      </c>
      <c r="C50" s="6" t="s">
        <v>105</v>
      </c>
      <c r="D50" s="6" t="s">
        <v>105</v>
      </c>
      <c r="E50" s="6" t="s">
        <v>105</v>
      </c>
      <c r="F50" s="6" t="s">
        <v>105</v>
      </c>
      <c r="G50" s="6" t="s">
        <v>105</v>
      </c>
      <c r="H50" s="6" t="s">
        <v>137</v>
      </c>
      <c r="I50" s="6" t="s">
        <v>137</v>
      </c>
      <c r="J50" s="6" t="s">
        <v>137</v>
      </c>
      <c r="K50" s="11" t="s">
        <v>198</v>
      </c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4" t="s">
        <v>199</v>
      </c>
      <c r="B51" s="4" t="s">
        <v>86</v>
      </c>
      <c r="C51" s="6" t="s">
        <v>137</v>
      </c>
      <c r="D51" s="6" t="s">
        <v>137</v>
      </c>
      <c r="E51" s="6" t="s">
        <v>137</v>
      </c>
      <c r="F51" s="6" t="s">
        <v>137</v>
      </c>
      <c r="G51" s="6" t="s">
        <v>137</v>
      </c>
      <c r="H51" s="6" t="s">
        <v>137</v>
      </c>
      <c r="I51" s="6" t="s">
        <v>137</v>
      </c>
      <c r="J51" s="6" t="s">
        <v>137</v>
      </c>
      <c r="K51" s="11" t="s">
        <v>200</v>
      </c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" customHeight="1" x14ac:dyDescent="0.2">
      <c r="A52" s="4" t="s">
        <v>201</v>
      </c>
      <c r="B52" s="4" t="s">
        <v>86</v>
      </c>
      <c r="C52" s="6" t="s">
        <v>137</v>
      </c>
      <c r="D52" s="6" t="s">
        <v>137</v>
      </c>
      <c r="E52" s="6" t="s">
        <v>137</v>
      </c>
      <c r="F52" s="6" t="s">
        <v>137</v>
      </c>
      <c r="G52" s="6" t="s">
        <v>137</v>
      </c>
      <c r="H52" s="6" t="s">
        <v>137</v>
      </c>
      <c r="I52" s="6" t="s">
        <v>137</v>
      </c>
      <c r="J52" s="6" t="s">
        <v>137</v>
      </c>
      <c r="K52" s="11" t="s">
        <v>202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9.5" customHeight="1" x14ac:dyDescent="0.2">
      <c r="A54" s="23" t="s">
        <v>203</v>
      </c>
      <c r="B54" s="24"/>
      <c r="C54" s="24"/>
      <c r="D54" s="24"/>
      <c r="E54" s="24"/>
      <c r="F54" s="24"/>
      <c r="G54" s="24"/>
      <c r="H54" s="24"/>
      <c r="I54" s="24"/>
      <c r="J54" s="24"/>
      <c r="K54" s="25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27" customHeight="1" x14ac:dyDescent="0.2">
      <c r="A55" s="8" t="s">
        <v>48</v>
      </c>
      <c r="B55" s="8" t="s">
        <v>49</v>
      </c>
      <c r="C55" s="8" t="s">
        <v>50</v>
      </c>
      <c r="D55" s="8" t="s">
        <v>51</v>
      </c>
      <c r="E55" s="8" t="s">
        <v>130</v>
      </c>
      <c r="F55" s="8" t="s">
        <v>131</v>
      </c>
      <c r="G55" s="8" t="s">
        <v>132</v>
      </c>
      <c r="H55" s="8" t="s">
        <v>133</v>
      </c>
      <c r="I55" s="8" t="s">
        <v>134</v>
      </c>
      <c r="J55" s="8" t="s">
        <v>135</v>
      </c>
      <c r="K55" s="8" t="s">
        <v>52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43.5" customHeight="1" x14ac:dyDescent="0.2">
      <c r="A56" s="11" t="s">
        <v>60</v>
      </c>
      <c r="B56" s="11" t="s">
        <v>61</v>
      </c>
      <c r="C56" s="7" t="s">
        <v>62</v>
      </c>
      <c r="D56" s="7" t="s">
        <v>62</v>
      </c>
      <c r="E56" s="7" t="s">
        <v>62</v>
      </c>
      <c r="F56" s="7" t="s">
        <v>62</v>
      </c>
      <c r="G56" s="7" t="s">
        <v>62</v>
      </c>
      <c r="H56" s="7" t="s">
        <v>62</v>
      </c>
      <c r="I56" s="7" t="s">
        <v>62</v>
      </c>
      <c r="J56" s="7" t="s">
        <v>62</v>
      </c>
      <c r="K56" s="11" t="s">
        <v>204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11" t="s">
        <v>64</v>
      </c>
      <c r="B57" s="11" t="s">
        <v>61</v>
      </c>
      <c r="C57" s="7" t="s">
        <v>62</v>
      </c>
      <c r="D57" s="7" t="s">
        <v>62</v>
      </c>
      <c r="E57" s="7" t="s">
        <v>62</v>
      </c>
      <c r="F57" s="7" t="s">
        <v>62</v>
      </c>
      <c r="G57" s="7" t="s">
        <v>62</v>
      </c>
      <c r="H57" s="7" t="s">
        <v>62</v>
      </c>
      <c r="I57" s="7" t="s">
        <v>62</v>
      </c>
      <c r="J57" s="7" t="s">
        <v>62</v>
      </c>
      <c r="K57" s="7" t="s">
        <v>63</v>
      </c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43.5" customHeight="1" x14ac:dyDescent="0.2">
      <c r="A58" s="11" t="s">
        <v>70</v>
      </c>
      <c r="B58" s="11" t="s">
        <v>61</v>
      </c>
      <c r="C58" s="7" t="s">
        <v>71</v>
      </c>
      <c r="D58" s="7" t="s">
        <v>145</v>
      </c>
      <c r="E58" s="7" t="s">
        <v>145</v>
      </c>
      <c r="F58" s="7" t="s">
        <v>145</v>
      </c>
      <c r="G58" s="7" t="s">
        <v>146</v>
      </c>
      <c r="H58" s="7" t="s">
        <v>146</v>
      </c>
      <c r="I58" s="7" t="s">
        <v>146</v>
      </c>
      <c r="J58" s="7" t="s">
        <v>146</v>
      </c>
      <c r="K58" s="11" t="s">
        <v>205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4" t="s">
        <v>206</v>
      </c>
      <c r="B59" s="4" t="s">
        <v>32</v>
      </c>
      <c r="C59" s="6" t="s">
        <v>137</v>
      </c>
      <c r="D59" s="6" t="s">
        <v>137</v>
      </c>
      <c r="E59" s="6" t="s">
        <v>138</v>
      </c>
      <c r="F59" s="6" t="s">
        <v>138</v>
      </c>
      <c r="G59" s="6" t="s">
        <v>138</v>
      </c>
      <c r="H59" s="6" t="s">
        <v>138</v>
      </c>
      <c r="I59" s="6" t="s">
        <v>148</v>
      </c>
      <c r="J59" s="6" t="s">
        <v>148</v>
      </c>
      <c r="K59" s="6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4" t="s">
        <v>207</v>
      </c>
      <c r="B60" s="4" t="s">
        <v>112</v>
      </c>
      <c r="C60" s="6" t="s">
        <v>112</v>
      </c>
      <c r="D60" s="6" t="s">
        <v>112</v>
      </c>
      <c r="E60" s="6" t="s">
        <v>112</v>
      </c>
      <c r="F60" s="6" t="s">
        <v>112</v>
      </c>
      <c r="G60" s="6" t="s">
        <v>112</v>
      </c>
      <c r="H60" s="6" t="s">
        <v>112</v>
      </c>
      <c r="I60" s="6" t="s">
        <v>112</v>
      </c>
      <c r="J60" s="6" t="s">
        <v>112</v>
      </c>
      <c r="K60" s="6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30" customHeight="1" x14ac:dyDescent="0.2">
      <c r="A61" s="29" t="s">
        <v>208</v>
      </c>
      <c r="B61" s="24"/>
      <c r="C61" s="24"/>
      <c r="D61" s="24"/>
      <c r="E61" s="24"/>
      <c r="F61" s="24"/>
      <c r="G61" s="24"/>
      <c r="H61" s="24"/>
      <c r="I61" s="24"/>
      <c r="J61" s="24"/>
      <c r="K61" s="25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9.5" customHeight="1" x14ac:dyDescent="0.2">
      <c r="A63" s="23" t="s">
        <v>209</v>
      </c>
      <c r="B63" s="24"/>
      <c r="C63" s="24"/>
      <c r="D63" s="24"/>
      <c r="E63" s="24"/>
      <c r="F63" s="24"/>
      <c r="G63" s="24"/>
      <c r="H63" s="24"/>
      <c r="I63" s="24"/>
      <c r="J63" s="24"/>
      <c r="K63" s="25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30" customHeight="1" x14ac:dyDescent="0.2">
      <c r="A64" s="28" t="s">
        <v>210</v>
      </c>
      <c r="B64" s="24"/>
      <c r="C64" s="24"/>
      <c r="D64" s="24"/>
      <c r="E64" s="24"/>
      <c r="F64" s="24"/>
      <c r="G64" s="24"/>
      <c r="H64" s="24"/>
      <c r="I64" s="24"/>
      <c r="J64" s="24"/>
      <c r="K64" s="25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30" customHeight="1" x14ac:dyDescent="0.2">
      <c r="A65" s="28" t="s">
        <v>211</v>
      </c>
      <c r="B65" s="24"/>
      <c r="C65" s="24"/>
      <c r="D65" s="24"/>
      <c r="E65" s="24"/>
      <c r="F65" s="24"/>
      <c r="G65" s="24"/>
      <c r="H65" s="24"/>
      <c r="I65" s="24"/>
      <c r="J65" s="24"/>
      <c r="K65" s="25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33.75" customHeight="1" x14ac:dyDescent="0.2">
      <c r="A66" s="28" t="s">
        <v>212</v>
      </c>
      <c r="B66" s="24"/>
      <c r="C66" s="24"/>
      <c r="D66" s="24"/>
      <c r="E66" s="24"/>
      <c r="F66" s="24"/>
      <c r="G66" s="24"/>
      <c r="H66" s="24"/>
      <c r="I66" s="24"/>
      <c r="J66" s="24"/>
      <c r="K66" s="25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9.5" customHeight="1" x14ac:dyDescent="0.2">
      <c r="A68" s="27" t="s">
        <v>213</v>
      </c>
      <c r="B68" s="24"/>
      <c r="C68" s="24"/>
      <c r="D68" s="24"/>
      <c r="E68" s="24"/>
      <c r="F68" s="24"/>
      <c r="G68" s="24"/>
      <c r="H68" s="24"/>
      <c r="I68" s="24"/>
      <c r="J68" s="24"/>
      <c r="K68" s="25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12" t="s">
        <v>214</v>
      </c>
      <c r="B69" s="12" t="s">
        <v>215</v>
      </c>
      <c r="C69" s="12" t="s">
        <v>216</v>
      </c>
      <c r="D69" s="12" t="s">
        <v>217</v>
      </c>
      <c r="E69" s="12" t="s">
        <v>218</v>
      </c>
      <c r="F69" s="12" t="s">
        <v>219</v>
      </c>
      <c r="G69" s="12" t="s">
        <v>220</v>
      </c>
      <c r="H69" s="12" t="s">
        <v>221</v>
      </c>
      <c r="I69" s="12" t="s">
        <v>222</v>
      </c>
      <c r="J69" s="12" t="s">
        <v>223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13" t="s">
        <v>86</v>
      </c>
      <c r="B70" s="14" t="str">
        <f>C70&amp;" → "&amp;J70</f>
        <v>0 → 0</v>
      </c>
      <c r="C70" s="14">
        <f>SUMPRODUCT(($B$3:$B$65="Espalda")*IFERROR(VALUE(LEFT(C$3:C$65,FIND(" ",C$3:C$65&amp;" ")-1)),0))</f>
        <v>0</v>
      </c>
      <c r="D70" s="14">
        <f>SUMPRODUCT(($B$3:$B$65="Espalda")*IFERROR(VALUE(LEFT(D$3:D$65,FIND(" ",D$3:D$65&amp;" ")-1)),0))</f>
        <v>0</v>
      </c>
      <c r="E70" s="14">
        <f>SUMPRODUCT(($B$3:$B$65="Espalda")*IFERROR(VALUE(LEFT(E$3:E$65,FIND(" ",E$3:E$65&amp;" ")-1)),0))</f>
        <v>0</v>
      </c>
      <c r="F70" s="14">
        <f>SUMPRODUCT(($B$3:$B$65="Espalda")*IFERROR(VALUE(LEFT(F$3:F$65,FIND(" ",F$3:F$65&amp;" ")-1)),0))</f>
        <v>0</v>
      </c>
      <c r="G70" s="14">
        <f>SUMPRODUCT(($B$3:$B$65="Espalda")*IFERROR(VALUE(LEFT(G$3:G$65,FIND(" ",G$3:G$65&amp;" ")-1)),0))</f>
        <v>0</v>
      </c>
      <c r="H70" s="14">
        <f>SUMPRODUCT(($B$3:$B$65="Espalda")*IFERROR(VALUE(LEFT(H$3:H$65,FIND(" ",H$3:H$65&amp;" ")-1)),0))</f>
        <v>0</v>
      </c>
      <c r="I70" s="14">
        <f>SUMPRODUCT(($B$3:$B$65="Espalda")*IFERROR(VALUE(LEFT(I$3:I$65,FIND(" ",I$3:I$65&amp;" ")-1)),0))</f>
        <v>0</v>
      </c>
      <c r="J70" s="14">
        <f>SUMPRODUCT(($B$3:$B$65="Espalda")*IFERROR(VALUE(LEFT(J$3:J$65,FIND(" ",J$3:J$65&amp;" ")-1)),0))</f>
        <v>0</v>
      </c>
      <c r="K70" s="14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13" t="s">
        <v>23</v>
      </c>
      <c r="B71" s="14" t="str">
        <f>C71&amp;" → "&amp;J71</f>
        <v>0 → 0</v>
      </c>
      <c r="C71" s="14">
        <f>SUMPRODUCT(($B$3:$B$65="Pecho")*IFERROR(VALUE(LEFT(C$3:C$65,FIND(" ",C$3:C$65&amp;" ")-1)),0))</f>
        <v>0</v>
      </c>
      <c r="D71" s="14">
        <f>SUMPRODUCT(($B$3:$B$65="Pecho")*IFERROR(VALUE(LEFT(D$3:D$65,FIND(" ",D$3:D$65&amp;" ")-1)),0))</f>
        <v>0</v>
      </c>
      <c r="E71" s="14">
        <f>SUMPRODUCT(($B$3:$B$65="Pecho")*IFERROR(VALUE(LEFT(E$3:E$65,FIND(" ",E$3:E$65&amp;" ")-1)),0))</f>
        <v>0</v>
      </c>
      <c r="F71" s="14">
        <f>SUMPRODUCT(($B$3:$B$65="Pecho")*IFERROR(VALUE(LEFT(F$3:F$65,FIND(" ",F$3:F$65&amp;" ")-1)),0))</f>
        <v>0</v>
      </c>
      <c r="G71" s="14">
        <f>SUMPRODUCT(($B$3:$B$65="Pecho")*IFERROR(VALUE(LEFT(G$3:G$65,FIND(" ",G$3:G$65&amp;" ")-1)),0))</f>
        <v>0</v>
      </c>
      <c r="H71" s="14">
        <f>SUMPRODUCT(($B$3:$B$65="Pecho")*IFERROR(VALUE(LEFT(H$3:H$65,FIND(" ",H$3:H$65&amp;" ")-1)),0))</f>
        <v>0</v>
      </c>
      <c r="I71" s="14">
        <f>SUMPRODUCT(($B$3:$B$65="Pecho")*IFERROR(VALUE(LEFT(I$3:I$65,FIND(" ",I$3:I$65&amp;" ")-1)),0))</f>
        <v>0</v>
      </c>
      <c r="J71" s="14">
        <f>SUMPRODUCT(($B$3:$B$65="Pecho")*IFERROR(VALUE(LEFT(J$3:J$65,FIND(" ",J$3:J$65&amp;" ")-1)),0))</f>
        <v>0</v>
      </c>
      <c r="K71" s="14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13" t="s">
        <v>54</v>
      </c>
      <c r="B72" s="14" t="str">
        <f>C72&amp;" → "&amp;J72</f>
        <v>0 → 0</v>
      </c>
      <c r="C72" s="14">
        <f>SUMPRODUCT(($B$3:$B$65="Hombro lat.")*IFERROR(VALUE(LEFT(C$3:C$65,FIND(" ",C$3:C$65&amp;" ")-1)),0))</f>
        <v>0</v>
      </c>
      <c r="D72" s="14">
        <f>SUMPRODUCT(($B$3:$B$65="Hombro lat.")*IFERROR(VALUE(LEFT(D$3:D$65,FIND(" ",D$3:D$65&amp;" ")-1)),0))</f>
        <v>0</v>
      </c>
      <c r="E72" s="14">
        <f>SUMPRODUCT(($B$3:$B$65="Hombro lat.")*IFERROR(VALUE(LEFT(E$3:E$65,FIND(" ",E$3:E$65&amp;" ")-1)),0))</f>
        <v>0</v>
      </c>
      <c r="F72" s="14">
        <f>SUMPRODUCT(($B$3:$B$65="Hombro lat.")*IFERROR(VALUE(LEFT(F$3:F$65,FIND(" ",F$3:F$65&amp;" ")-1)),0))</f>
        <v>0</v>
      </c>
      <c r="G72" s="14">
        <f>SUMPRODUCT(($B$3:$B$65="Hombro lat.")*IFERROR(VALUE(LEFT(G$3:G$65,FIND(" ",G$3:G$65&amp;" ")-1)),0))</f>
        <v>0</v>
      </c>
      <c r="H72" s="14">
        <f>SUMPRODUCT(($B$3:$B$65="Hombro lat.")*IFERROR(VALUE(LEFT(H$3:H$65,FIND(" ",H$3:H$65&amp;" ")-1)),0))</f>
        <v>0</v>
      </c>
      <c r="I72" s="14">
        <f>SUMPRODUCT(($B$3:$B$65="Hombro lat.")*IFERROR(VALUE(LEFT(I$3:I$65,FIND(" ",I$3:I$65&amp;" ")-1)),0))</f>
        <v>0</v>
      </c>
      <c r="J72" s="14">
        <f>SUMPRODUCT(($B$3:$B$65="Hombro lat.")*IFERROR(VALUE(LEFT(J$3:J$65,FIND(" ",J$3:J$65&amp;" ")-1)),0))</f>
        <v>0</v>
      </c>
      <c r="K72" s="14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13" t="s">
        <v>173</v>
      </c>
      <c r="B73" s="14" t="str">
        <f>C73&amp;" → "&amp;J73</f>
        <v>0 → 0</v>
      </c>
      <c r="C73" s="14">
        <f>SUMPRODUCT(($B$3:$B$65="Hombro post.")*IFERROR(VALUE(LEFT(C$3:C$65,FIND(" ",C$3:C$65&amp;" ")-1)),0))</f>
        <v>0</v>
      </c>
      <c r="D73" s="14">
        <f>SUMPRODUCT(($B$3:$B$65="Hombro post.")*IFERROR(VALUE(LEFT(D$3:D$65,FIND(" ",D$3:D$65&amp;" ")-1)),0))</f>
        <v>0</v>
      </c>
      <c r="E73" s="14">
        <f>SUMPRODUCT(($B$3:$B$65="Hombro post.")*IFERROR(VALUE(LEFT(E$3:E$65,FIND(" ",E$3:E$65&amp;" ")-1)),0))</f>
        <v>0</v>
      </c>
      <c r="F73" s="14">
        <f>SUMPRODUCT(($B$3:$B$65="Hombro post.")*IFERROR(VALUE(LEFT(F$3:F$65,FIND(" ",F$3:F$65&amp;" ")-1)),0))</f>
        <v>0</v>
      </c>
      <c r="G73" s="14">
        <f>SUMPRODUCT(($B$3:$B$65="Hombro post.")*IFERROR(VALUE(LEFT(G$3:G$65,FIND(" ",G$3:G$65&amp;" ")-1)),0))</f>
        <v>0</v>
      </c>
      <c r="H73" s="14">
        <f>SUMPRODUCT(($B$3:$B$65="Hombro post.")*IFERROR(VALUE(LEFT(H$3:H$65,FIND(" ",H$3:H$65&amp;" ")-1)),0))</f>
        <v>0</v>
      </c>
      <c r="I73" s="14">
        <f>SUMPRODUCT(($B$3:$B$65="Hombro post.")*IFERROR(VALUE(LEFT(I$3:I$65,FIND(" ",I$3:I$65&amp;" ")-1)),0))</f>
        <v>0</v>
      </c>
      <c r="J73" s="14">
        <f>SUMPRODUCT(($B$3:$B$65="Hombro post.")*IFERROR(VALUE(LEFT(J$3:J$65,FIND(" ",J$3:J$65&amp;" ")-1)),0))</f>
        <v>0</v>
      </c>
      <c r="K73" s="14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13" t="s">
        <v>28</v>
      </c>
      <c r="B74" s="14" t="str">
        <f>C74&amp;" → "&amp;J74</f>
        <v>0 → 0</v>
      </c>
      <c r="C74" s="14">
        <f>SUMPRODUCT(($B$3:$B$65="Bíceps")*IFERROR(VALUE(LEFT(C$3:C$65,FIND(" ",C$3:C$65&amp;" ")-1)),0))</f>
        <v>0</v>
      </c>
      <c r="D74" s="14">
        <f>SUMPRODUCT(($B$3:$B$65="Bíceps")*IFERROR(VALUE(LEFT(D$3:D$65,FIND(" ",D$3:D$65&amp;" ")-1)),0))</f>
        <v>0</v>
      </c>
      <c r="E74" s="14">
        <f>SUMPRODUCT(($B$3:$B$65="Bíceps")*IFERROR(VALUE(LEFT(E$3:E$65,FIND(" ",E$3:E$65&amp;" ")-1)),0))</f>
        <v>0</v>
      </c>
      <c r="F74" s="14">
        <f>SUMPRODUCT(($B$3:$B$65="Bíceps")*IFERROR(VALUE(LEFT(F$3:F$65,FIND(" ",F$3:F$65&amp;" ")-1)),0))</f>
        <v>0</v>
      </c>
      <c r="G74" s="14">
        <f>SUMPRODUCT(($B$3:$B$65="Bíceps")*IFERROR(VALUE(LEFT(G$3:G$65,FIND(" ",G$3:G$65&amp;" ")-1)),0))</f>
        <v>0</v>
      </c>
      <c r="H74" s="14">
        <f>SUMPRODUCT(($B$3:$B$65="Bíceps")*IFERROR(VALUE(LEFT(H$3:H$65,FIND(" ",H$3:H$65&amp;" ")-1)),0))</f>
        <v>0</v>
      </c>
      <c r="I74" s="14">
        <f>SUMPRODUCT(($B$3:$B$65="Bíceps")*IFERROR(VALUE(LEFT(I$3:I$65,FIND(" ",I$3:I$65&amp;" ")-1)),0))</f>
        <v>0</v>
      </c>
      <c r="J74" s="14">
        <f>SUMPRODUCT(($B$3:$B$65="Bíceps")*IFERROR(VALUE(LEFT(J$3:J$65,FIND(" ",J$3:J$65&amp;" ")-1)),0))</f>
        <v>0</v>
      </c>
      <c r="K74" s="14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13" t="s">
        <v>30</v>
      </c>
      <c r="B75" s="14" t="str">
        <f>C75&amp;" → "&amp;J75</f>
        <v>0 → 0</v>
      </c>
      <c r="C75" s="14">
        <f>SUMPRODUCT(($B$3:$B$65="Tríceps")*IFERROR(VALUE(LEFT(C$3:C$65,FIND(" ",C$3:C$65&amp;" ")-1)),0))</f>
        <v>0</v>
      </c>
      <c r="D75" s="14">
        <f>SUMPRODUCT(($B$3:$B$65="Tríceps")*IFERROR(VALUE(LEFT(D$3:D$65,FIND(" ",D$3:D$65&amp;" ")-1)),0))</f>
        <v>0</v>
      </c>
      <c r="E75" s="14">
        <f>SUMPRODUCT(($B$3:$B$65="Tríceps")*IFERROR(VALUE(LEFT(E$3:E$65,FIND(" ",E$3:E$65&amp;" ")-1)),0))</f>
        <v>0</v>
      </c>
      <c r="F75" s="14">
        <f>SUMPRODUCT(($B$3:$B$65="Tríceps")*IFERROR(VALUE(LEFT(F$3:F$65,FIND(" ",F$3:F$65&amp;" ")-1)),0))</f>
        <v>0</v>
      </c>
      <c r="G75" s="14">
        <f>SUMPRODUCT(($B$3:$B$65="Tríceps")*IFERROR(VALUE(LEFT(G$3:G$65,FIND(" ",G$3:G$65&amp;" ")-1)),0))</f>
        <v>0</v>
      </c>
      <c r="H75" s="14">
        <f>SUMPRODUCT(($B$3:$B$65="Tríceps")*IFERROR(VALUE(LEFT(H$3:H$65,FIND(" ",H$3:H$65&amp;" ")-1)),0))</f>
        <v>0</v>
      </c>
      <c r="I75" s="14">
        <f>SUMPRODUCT(($B$3:$B$65="Tríceps")*IFERROR(VALUE(LEFT(I$3:I$65,FIND(" ",I$3:I$65&amp;" ")-1)),0))</f>
        <v>0</v>
      </c>
      <c r="J75" s="14">
        <f>SUMPRODUCT(($B$3:$B$65="Tríceps")*IFERROR(VALUE(LEFT(J$3:J$65,FIND(" ",J$3:J$65&amp;" ")-1)),0))</f>
        <v>0</v>
      </c>
      <c r="K75" s="14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13" t="s">
        <v>72</v>
      </c>
      <c r="B76" s="14" t="str">
        <f>C76&amp;" → "&amp;J76</f>
        <v>0 → 0</v>
      </c>
      <c r="C76" s="14">
        <f>SUMPRODUCT(($B$3:$B$65="Isquios")*IFERROR(VALUE(LEFT(C$3:C$65,FIND(" ",C$3:C$65&amp;" ")-1)),0))</f>
        <v>0</v>
      </c>
      <c r="D76" s="14">
        <f>SUMPRODUCT(($B$3:$B$65="Isquios")*IFERROR(VALUE(LEFT(D$3:D$65,FIND(" ",D$3:D$65&amp;" ")-1)),0))</f>
        <v>0</v>
      </c>
      <c r="E76" s="14">
        <f>SUMPRODUCT(($B$3:$B$65="Isquios")*IFERROR(VALUE(LEFT(E$3:E$65,FIND(" ",E$3:E$65&amp;" ")-1)),0))</f>
        <v>0</v>
      </c>
      <c r="F76" s="14">
        <f>SUMPRODUCT(($B$3:$B$65="Isquios")*IFERROR(VALUE(LEFT(F$3:F$65,FIND(" ",F$3:F$65&amp;" ")-1)),0))</f>
        <v>0</v>
      </c>
      <c r="G76" s="14">
        <f>SUMPRODUCT(($B$3:$B$65="Isquios")*IFERROR(VALUE(LEFT(G$3:G$65,FIND(" ",G$3:G$65&amp;" ")-1)),0))</f>
        <v>0</v>
      </c>
      <c r="H76" s="14">
        <f>SUMPRODUCT(($B$3:$B$65="Isquios")*IFERROR(VALUE(LEFT(H$3:H$65,FIND(" ",H$3:H$65&amp;" ")-1)),0))</f>
        <v>0</v>
      </c>
      <c r="I76" s="14">
        <f>SUMPRODUCT(($B$3:$B$65="Isquios")*IFERROR(VALUE(LEFT(I$3:I$65,FIND(" ",I$3:I$65&amp;" ")-1)),0))</f>
        <v>0</v>
      </c>
      <c r="J76" s="14">
        <f>SUMPRODUCT(($B$3:$B$65="Isquios")*IFERROR(VALUE(LEFT(J$3:J$65,FIND(" ",J$3:J$65&amp;" ")-1)),0))</f>
        <v>0</v>
      </c>
      <c r="K76" s="14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13" t="s">
        <v>32</v>
      </c>
      <c r="B77" s="14" t="str">
        <f>C77&amp;" → "&amp;J77</f>
        <v>0 → 0</v>
      </c>
      <c r="C77" s="14">
        <f>SUMPRODUCT(($B$3:$B$65="Abs")*IFERROR(VALUE(LEFT(C$3:C$65,FIND(" ",C$3:C$65&amp;" ")-1)),0))</f>
        <v>0</v>
      </c>
      <c r="D77" s="14">
        <f>SUMPRODUCT(($B$3:$B$65="Abs")*IFERROR(VALUE(LEFT(D$3:D$65,FIND(" ",D$3:D$65&amp;" ")-1)),0))</f>
        <v>0</v>
      </c>
      <c r="E77" s="14">
        <f>SUMPRODUCT(($B$3:$B$65="Abs")*IFERROR(VALUE(LEFT(E$3:E$65,FIND(" ",E$3:E$65&amp;" ")-1)),0))</f>
        <v>0</v>
      </c>
      <c r="F77" s="14">
        <f>SUMPRODUCT(($B$3:$B$65="Abs")*IFERROR(VALUE(LEFT(F$3:F$65,FIND(" ",F$3:F$65&amp;" ")-1)),0))</f>
        <v>0</v>
      </c>
      <c r="G77" s="14">
        <f>SUMPRODUCT(($B$3:$B$65="Abs")*IFERROR(VALUE(LEFT(G$3:G$65,FIND(" ",G$3:G$65&amp;" ")-1)),0))</f>
        <v>0</v>
      </c>
      <c r="H77" s="14">
        <f>SUMPRODUCT(($B$3:$B$65="Abs")*IFERROR(VALUE(LEFT(H$3:H$65,FIND(" ",H$3:H$65&amp;" ")-1)),0))</f>
        <v>0</v>
      </c>
      <c r="I77" s="14">
        <f>SUMPRODUCT(($B$3:$B$65="Abs")*IFERROR(VALUE(LEFT(I$3:I$65,FIND(" ",I$3:I$65&amp;" ")-1)),0))</f>
        <v>0</v>
      </c>
      <c r="J77" s="14">
        <f>SUMPRODUCT(($B$3:$B$65="Abs")*IFERROR(VALUE(LEFT(J$3:J$65,FIND(" ",J$3:J$65&amp;" ")-1)),0))</f>
        <v>0</v>
      </c>
      <c r="K77" s="14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13" t="s">
        <v>41</v>
      </c>
      <c r="B78" s="14" t="str">
        <f>C78&amp;" → "&amp;J78</f>
        <v>0 → 0</v>
      </c>
      <c r="C78" s="14">
        <f>SUMPRODUCT(($B$3:$B$65="Gemelos")*IFERROR(VALUE(LEFT(C$3:C$65,FIND(" ",C$3:C$65&amp;" ")-1)),0))</f>
        <v>0</v>
      </c>
      <c r="D78" s="14">
        <f>SUMPRODUCT(($B$3:$B$65="Gemelos")*IFERROR(VALUE(LEFT(D$3:D$65,FIND(" ",D$3:D$65&amp;" ")-1)),0))</f>
        <v>0</v>
      </c>
      <c r="E78" s="14">
        <f>SUMPRODUCT(($B$3:$B$65="Gemelos")*IFERROR(VALUE(LEFT(E$3:E$65,FIND(" ",E$3:E$65&amp;" ")-1)),0))</f>
        <v>0</v>
      </c>
      <c r="F78" s="14">
        <f>SUMPRODUCT(($B$3:$B$65="Gemelos")*IFERROR(VALUE(LEFT(F$3:F$65,FIND(" ",F$3:F$65&amp;" ")-1)),0))</f>
        <v>0</v>
      </c>
      <c r="G78" s="14">
        <f>SUMPRODUCT(($B$3:$B$65="Gemelos")*IFERROR(VALUE(LEFT(G$3:G$65,FIND(" ",G$3:G$65&amp;" ")-1)),0))</f>
        <v>0</v>
      </c>
      <c r="H78" s="14">
        <f>SUMPRODUCT(($B$3:$B$65="Gemelos")*IFERROR(VALUE(LEFT(H$3:H$65,FIND(" ",H$3:H$65&amp;" ")-1)),0))</f>
        <v>0</v>
      </c>
      <c r="I78" s="14">
        <f>SUMPRODUCT(($B$3:$B$65="Gemelos")*IFERROR(VALUE(LEFT(I$3:I$65,FIND(" ",I$3:I$65&amp;" ")-1)),0))</f>
        <v>0</v>
      </c>
      <c r="J78" s="14">
        <f>SUMPRODUCT(($B$3:$B$65="Gemelos")*IFERROR(VALUE(LEFT(J$3:J$65,FIND(" ",J$3:J$65&amp;" ")-1)),0))</f>
        <v>0</v>
      </c>
      <c r="K78" s="14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13" t="s">
        <v>38</v>
      </c>
      <c r="B79" s="14" t="str">
        <f>C79&amp;" → "&amp;J79</f>
        <v>0 → 0</v>
      </c>
      <c r="C79" s="14">
        <f>SUMPRODUCT(($B$3:$B$65="Aductores")*IFERROR(VALUE(LEFT(C$3:C$65,FIND(" ",C$3:C$65&amp;" ")-1)),0))</f>
        <v>0</v>
      </c>
      <c r="D79" s="14">
        <f>SUMPRODUCT(($B$3:$B$65="Aductores")*IFERROR(VALUE(LEFT(D$3:D$65,FIND(" ",D$3:D$65&amp;" ")-1)),0))</f>
        <v>0</v>
      </c>
      <c r="E79" s="14">
        <f>SUMPRODUCT(($B$3:$B$65="Aductores")*IFERROR(VALUE(LEFT(E$3:E$65,FIND(" ",E$3:E$65&amp;" ")-1)),0))</f>
        <v>0</v>
      </c>
      <c r="F79" s="14">
        <f>SUMPRODUCT(($B$3:$B$65="Aductores")*IFERROR(VALUE(LEFT(F$3:F$65,FIND(" ",F$3:F$65&amp;" ")-1)),0))</f>
        <v>0</v>
      </c>
      <c r="G79" s="14">
        <f>SUMPRODUCT(($B$3:$B$65="Aductores")*IFERROR(VALUE(LEFT(G$3:G$65,FIND(" ",G$3:G$65&amp;" ")-1)),0))</f>
        <v>0</v>
      </c>
      <c r="H79" s="14">
        <f>SUMPRODUCT(($B$3:$B$65="Aductores")*IFERROR(VALUE(LEFT(H$3:H$65,FIND(" ",H$3:H$65&amp;" ")-1)),0))</f>
        <v>0</v>
      </c>
      <c r="I79" s="14">
        <f>SUMPRODUCT(($B$3:$B$65="Aductores")*IFERROR(VALUE(LEFT(I$3:I$65,FIND(" ",I$3:I$65&amp;" ")-1)),0))</f>
        <v>0</v>
      </c>
      <c r="J79" s="14">
        <f>SUMPRODUCT(($B$3:$B$65="Aductores")*IFERROR(VALUE(LEFT(J$3:J$65,FIND(" ",J$3:J$65&amp;" ")-1)),0))</f>
        <v>0</v>
      </c>
      <c r="K79" s="14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16" t="s">
        <v>224</v>
      </c>
      <c r="B80" s="12" t="str">
        <f>C80&amp;" → "&amp;J80</f>
        <v>0 → 0</v>
      </c>
      <c r="C80" s="12">
        <f>SUM(C70:C79)</f>
        <v>0</v>
      </c>
      <c r="D80" s="12">
        <f>SUM(D70:D79)</f>
        <v>0</v>
      </c>
      <c r="E80" s="12">
        <f>SUM(E70:E79)</f>
        <v>0</v>
      </c>
      <c r="F80" s="12">
        <f>SUM(F70:F79)</f>
        <v>0</v>
      </c>
      <c r="G80" s="12">
        <f>SUM(G70:G79)</f>
        <v>0</v>
      </c>
      <c r="H80" s="12">
        <f>SUM(H70:H79)</f>
        <v>0</v>
      </c>
      <c r="I80" s="12">
        <f>SUM(I70:I79)</f>
        <v>0</v>
      </c>
      <c r="J80" s="12">
        <f>SUM(J70:J79)</f>
        <v>0</v>
      </c>
      <c r="K80" s="12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9.5" customHeight="1" x14ac:dyDescent="0.2">
      <c r="A82" s="27" t="s">
        <v>225</v>
      </c>
      <c r="B82" s="24"/>
      <c r="C82" s="24"/>
      <c r="D82" s="24"/>
      <c r="E82" s="24"/>
      <c r="F82" s="24"/>
      <c r="G82" s="24"/>
      <c r="H82" s="24"/>
      <c r="I82" s="24"/>
      <c r="J82" s="24"/>
      <c r="K82" s="25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12" t="s">
        <v>226</v>
      </c>
      <c r="B83" s="12" t="s">
        <v>215</v>
      </c>
      <c r="C83" s="12" t="s">
        <v>216</v>
      </c>
      <c r="D83" s="12" t="s">
        <v>217</v>
      </c>
      <c r="E83" s="12" t="s">
        <v>218</v>
      </c>
      <c r="F83" s="12" t="s">
        <v>219</v>
      </c>
      <c r="G83" s="12" t="s">
        <v>220</v>
      </c>
      <c r="H83" s="12" t="s">
        <v>221</v>
      </c>
      <c r="I83" s="12" t="s">
        <v>222</v>
      </c>
      <c r="J83" s="12" t="s">
        <v>223</v>
      </c>
      <c r="K83" s="1" t="s">
        <v>227</v>
      </c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13" t="s">
        <v>228</v>
      </c>
      <c r="B84" s="14" t="str">
        <f>C84&amp;" → "&amp;J84</f>
        <v>4 → 5</v>
      </c>
      <c r="C84" s="14">
        <f>IFERROR(VALUE(LEFT(C25,FIND(" ",C25&amp;" ")-1)),0)+IFERROR(VALUE(LEFT(C52,FIND(" ",C52&amp;" ")-1)),0)</f>
        <v>4</v>
      </c>
      <c r="D84" s="14">
        <f>IFERROR(VALUE(LEFT(D25,FIND(" ",D25&amp;" ")-1)),0)+IFERROR(VALUE(LEFT(D52,FIND(" ",D52&amp;" ")-1)),0)</f>
        <v>4</v>
      </c>
      <c r="E84" s="14">
        <f>IFERROR(VALUE(LEFT(E25,FIND(" ",E25&amp;" ")-1)),0)+IFERROR(VALUE(LEFT(E52,FIND(" ",E52&amp;" ")-1)),0)</f>
        <v>4</v>
      </c>
      <c r="F84" s="14">
        <f>IFERROR(VALUE(LEFT(F25,FIND(" ",F25&amp;" ")-1)),0)+IFERROR(VALUE(LEFT(F52,FIND(" ",F52&amp;" ")-1)),0)</f>
        <v>5</v>
      </c>
      <c r="G84" s="14">
        <f>IFERROR(VALUE(LEFT(G25,FIND(" ",G25&amp;" ")-1)),0)+IFERROR(VALUE(LEFT(G52,FIND(" ",G52&amp;" ")-1)),0)</f>
        <v>5</v>
      </c>
      <c r="H84" s="14">
        <f>IFERROR(VALUE(LEFT(H25,FIND(" ",H25&amp;" ")-1)),0)+IFERROR(VALUE(LEFT(H52,FIND(" ",H52&amp;" ")-1)),0)</f>
        <v>5</v>
      </c>
      <c r="I84" s="14">
        <f>IFERROR(VALUE(LEFT(I25,FIND(" ",I25&amp;" ")-1)),0)+IFERROR(VALUE(LEFT(I52,FIND(" ",I52&amp;" ")-1)),0)</f>
        <v>5</v>
      </c>
      <c r="J84" s="14">
        <f>IFERROR(VALUE(LEFT(J25,FIND(" ",J25&amp;" ")-1)),0)+IFERROR(VALUE(LEFT(J52,FIND(" ",J52&amp;" ")-1)),0)</f>
        <v>5</v>
      </c>
      <c r="K84" s="15" t="s">
        <v>229</v>
      </c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13" t="s">
        <v>230</v>
      </c>
      <c r="B85" s="14" t="str">
        <f>C85&amp;" → "&amp;J85</f>
        <v>4 → 6</v>
      </c>
      <c r="C85" s="14">
        <f>IFERROR(VALUE(LEFT(C28,FIND(" ",C28&amp;" ")-1)),0)+IFERROR(VALUE(LEFT(C50,FIND(" ",C50&amp;" ")-1)),0)+IFERROR(VALUE(LEFT(C51,FIND(" ",C51&amp;" ")-1)),0)</f>
        <v>4</v>
      </c>
      <c r="D85" s="14">
        <f>IFERROR(VALUE(LEFT(D28,FIND(" ",D28&amp;" ")-1)),0)+IFERROR(VALUE(LEFT(D50,FIND(" ",D50&amp;" ")-1)),0)+IFERROR(VALUE(LEFT(D51,FIND(" ",D51&amp;" ")-1)),0)</f>
        <v>5</v>
      </c>
      <c r="E85" s="14">
        <f>IFERROR(VALUE(LEFT(E28,FIND(" ",E28&amp;" ")-1)),0)+IFERROR(VALUE(LEFT(E50,FIND(" ",E50&amp;" ")-1)),0)+IFERROR(VALUE(LEFT(E51,FIND(" ",E51&amp;" ")-1)),0)</f>
        <v>5</v>
      </c>
      <c r="F85" s="14">
        <f>IFERROR(VALUE(LEFT(F28,FIND(" ",F28&amp;" ")-1)),0)+IFERROR(VALUE(LEFT(F50,FIND(" ",F50&amp;" ")-1)),0)+IFERROR(VALUE(LEFT(F51,FIND(" ",F51&amp;" ")-1)),0)</f>
        <v>5</v>
      </c>
      <c r="G85" s="14">
        <f>IFERROR(VALUE(LEFT(G28,FIND(" ",G28&amp;" ")-1)),0)+IFERROR(VALUE(LEFT(G50,FIND(" ",G50&amp;" ")-1)),0)+IFERROR(VALUE(LEFT(G51,FIND(" ",G51&amp;" ")-1)),0)</f>
        <v>5</v>
      </c>
      <c r="H85" s="14">
        <f>IFERROR(VALUE(LEFT(H28,FIND(" ",H28&amp;" ")-1)),0)+IFERROR(VALUE(LEFT(H50,FIND(" ",H50&amp;" ")-1)),0)+IFERROR(VALUE(LEFT(H51,FIND(" ",H51&amp;" ")-1)),0)</f>
        <v>6</v>
      </c>
      <c r="I85" s="14">
        <f>IFERROR(VALUE(LEFT(I28,FIND(" ",I28&amp;" ")-1)),0)+IFERROR(VALUE(LEFT(I50,FIND(" ",I50&amp;" ")-1)),0)+IFERROR(VALUE(LEFT(I51,FIND(" ",I51&amp;" ")-1)),0)</f>
        <v>6</v>
      </c>
      <c r="J85" s="14">
        <f>IFERROR(VALUE(LEFT(J28,FIND(" ",J28&amp;" ")-1)),0)+IFERROR(VALUE(LEFT(J50,FIND(" ",J50&amp;" ")-1)),0)+IFERROR(VALUE(LEFT(J51,FIND(" ",J51&amp;" ")-1)),0)</f>
        <v>6</v>
      </c>
      <c r="K85" s="15" t="s">
        <v>231</v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13" t="s">
        <v>232</v>
      </c>
      <c r="B86" s="14" t="str">
        <f>C86&amp;" → "&amp;J86</f>
        <v>2 → 3</v>
      </c>
      <c r="C86" s="14">
        <f>IFERROR(VALUE(LEFT(C26,FIND(" ",C26&amp;" ")-1)),0)</f>
        <v>2</v>
      </c>
      <c r="D86" s="14">
        <f>IFERROR(VALUE(LEFT(D26,FIND(" ",D26&amp;" ")-1)),0)</f>
        <v>2</v>
      </c>
      <c r="E86" s="14">
        <f>IFERROR(VALUE(LEFT(E26,FIND(" ",E26&amp;" ")-1)),0)</f>
        <v>2</v>
      </c>
      <c r="F86" s="14">
        <f>IFERROR(VALUE(LEFT(F26,FIND(" ",F26&amp;" ")-1)),0)</f>
        <v>2</v>
      </c>
      <c r="G86" s="14">
        <f>IFERROR(VALUE(LEFT(G26,FIND(" ",G26&amp;" ")-1)),0)</f>
        <v>2</v>
      </c>
      <c r="H86" s="14">
        <f>IFERROR(VALUE(LEFT(H26,FIND(" ",H26&amp;" ")-1)),0)</f>
        <v>2</v>
      </c>
      <c r="I86" s="14">
        <f>IFERROR(VALUE(LEFT(I26,FIND(" ",I26&amp;" ")-1)),0)</f>
        <v>2</v>
      </c>
      <c r="J86" s="14">
        <f>IFERROR(VALUE(LEFT(J26,FIND(" ",J26&amp;" ")-1)),0)</f>
        <v>3</v>
      </c>
      <c r="K86" s="15" t="s">
        <v>233</v>
      </c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16" t="s">
        <v>234</v>
      </c>
      <c r="B87" s="12" t="str">
        <f>C87&amp;" → "&amp;J87</f>
        <v>3 → 6</v>
      </c>
      <c r="C87" s="12">
        <f>IFERROR(VALUE(LEFT(C26,FIND(" ",C26&amp;" ")-1)),0)+IFERROR(VALUE(LEFT(C30,FIND(" ",C30&amp;" ")-1)),0)</f>
        <v>3</v>
      </c>
      <c r="D87" s="12">
        <f>IFERROR(VALUE(LEFT(D26,FIND(" ",D26&amp;" ")-1)),0)+IFERROR(VALUE(LEFT(D30,FIND(" ",D30&amp;" ")-1)),0)</f>
        <v>3</v>
      </c>
      <c r="E87" s="12">
        <f>IFERROR(VALUE(LEFT(E26,FIND(" ",E26&amp;" ")-1)),0)+IFERROR(VALUE(LEFT(E30,FIND(" ",E30&amp;" ")-1)),0)</f>
        <v>4</v>
      </c>
      <c r="F87" s="12">
        <f>IFERROR(VALUE(LEFT(F26,FIND(" ",F26&amp;" ")-1)),0)+IFERROR(VALUE(LEFT(F30,FIND(" ",F30&amp;" ")-1)),0)</f>
        <v>4</v>
      </c>
      <c r="G87" s="12">
        <f>IFERROR(VALUE(LEFT(G26,FIND(" ",G26&amp;" ")-1)),0)+IFERROR(VALUE(LEFT(G30,FIND(" ",G30&amp;" ")-1)),0)</f>
        <v>4</v>
      </c>
      <c r="H87" s="12">
        <f>IFERROR(VALUE(LEFT(H26,FIND(" ",H26&amp;" ")-1)),0)+IFERROR(VALUE(LEFT(H30,FIND(" ",H30&amp;" ")-1)),0)</f>
        <v>5</v>
      </c>
      <c r="I87" s="12">
        <f>IFERROR(VALUE(LEFT(I26,FIND(" ",I26&amp;" ")-1)),0)+IFERROR(VALUE(LEFT(I30,FIND(" ",I30&amp;" ")-1)),0)</f>
        <v>5</v>
      </c>
      <c r="J87" s="12">
        <f>IFERROR(VALUE(LEFT(J26,FIND(" ",J26&amp;" ")-1)),0)+IFERROR(VALUE(LEFT(J30,FIND(" ",J30&amp;" ")-1)),0)</f>
        <v>6</v>
      </c>
      <c r="K87" s="17" t="s">
        <v>235</v>
      </c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9.5" customHeight="1" x14ac:dyDescent="0.2">
      <c r="A90" s="27" t="s">
        <v>236</v>
      </c>
      <c r="B90" s="24"/>
      <c r="C90" s="24"/>
      <c r="D90" s="24"/>
      <c r="E90" s="24"/>
      <c r="F90" s="24"/>
      <c r="G90" s="24"/>
      <c r="H90" s="24"/>
      <c r="I90" s="24"/>
      <c r="J90" s="24"/>
      <c r="K90" s="25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12" t="s">
        <v>237</v>
      </c>
      <c r="B91" s="12" t="s">
        <v>238</v>
      </c>
      <c r="C91" s="12" t="s">
        <v>216</v>
      </c>
      <c r="D91" s="12" t="s">
        <v>217</v>
      </c>
      <c r="E91" s="12" t="s">
        <v>218</v>
      </c>
      <c r="F91" s="12" t="s">
        <v>219</v>
      </c>
      <c r="G91" s="12" t="s">
        <v>220</v>
      </c>
      <c r="H91" s="12" t="s">
        <v>221</v>
      </c>
      <c r="I91" s="12" t="s">
        <v>222</v>
      </c>
      <c r="J91" s="12" t="s">
        <v>223</v>
      </c>
      <c r="K91" t="s">
        <v>239</v>
      </c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18" t="s">
        <v>240</v>
      </c>
      <c r="B92" s="19" t="s">
        <v>241</v>
      </c>
      <c r="C92" s="14" t="s">
        <v>242</v>
      </c>
      <c r="D92" s="14" t="s">
        <v>242</v>
      </c>
      <c r="E92" s="14" t="s">
        <v>243</v>
      </c>
      <c r="F92" s="14" t="s">
        <v>244</v>
      </c>
      <c r="G92" s="14" t="s">
        <v>244</v>
      </c>
      <c r="H92" s="14" t="s">
        <v>245</v>
      </c>
      <c r="I92" s="14" t="s">
        <v>246</v>
      </c>
      <c r="J92" s="14" t="s">
        <v>244</v>
      </c>
      <c r="K92" s="11" t="s">
        <v>247</v>
      </c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18" t="s">
        <v>248</v>
      </c>
      <c r="B93" s="19" t="s">
        <v>249</v>
      </c>
      <c r="C93" s="14" t="s">
        <v>250</v>
      </c>
      <c r="D93" s="14" t="s">
        <v>242</v>
      </c>
      <c r="E93" s="14" t="s">
        <v>242</v>
      </c>
      <c r="F93" s="14" t="s">
        <v>243</v>
      </c>
      <c r="G93" s="14" t="s">
        <v>251</v>
      </c>
      <c r="H93" s="14" t="s">
        <v>252</v>
      </c>
      <c r="I93" s="14" t="s">
        <v>253</v>
      </c>
      <c r="J93" s="14" t="s">
        <v>254</v>
      </c>
      <c r="K93" s="11" t="s">
        <v>255</v>
      </c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2:26" ht="15.75" customHeight="1" x14ac:dyDescent="0.2"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2:26" ht="15.75" customHeight="1" x14ac:dyDescent="0.2"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2:26" ht="15.75" customHeight="1" x14ac:dyDescent="0.2"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2:26" ht="15.75" customHeight="1" x14ac:dyDescent="0.2"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2:26" ht="15.75" customHeight="1" x14ac:dyDescent="0.2"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2:26" ht="15.75" customHeight="1" x14ac:dyDescent="0.2"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2:26" ht="15.75" customHeight="1" x14ac:dyDescent="0.2"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2:26" ht="15.75" customHeight="1" x14ac:dyDescent="0.2"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2:26" ht="15.75" customHeight="1" x14ac:dyDescent="0.2"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2:26" ht="15.75" customHeight="1" x14ac:dyDescent="0.2"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2:26" ht="15.75" customHeight="1" x14ac:dyDescent="0.2"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2:26" ht="15.75" customHeight="1" x14ac:dyDescent="0.2"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2:26" ht="15.75" customHeight="1" x14ac:dyDescent="0.2"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2:26" ht="15.75" customHeight="1" x14ac:dyDescent="0.2"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2:26" ht="15.75" customHeight="1" x14ac:dyDescent="0.2"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2:26" ht="15.75" customHeight="1" x14ac:dyDescent="0.2"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2:26" ht="15.75" customHeight="1" x14ac:dyDescent="0.2"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2:26" ht="15.75" customHeight="1" x14ac:dyDescent="0.2"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2:26" ht="15.75" customHeight="1" x14ac:dyDescent="0.2"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2:26" ht="15.75" customHeight="1" x14ac:dyDescent="0.2"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2:26" ht="15.75" customHeight="1" x14ac:dyDescent="0.2"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2:26" ht="15.75" customHeight="1" x14ac:dyDescent="0.2"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2:26" ht="15.75" customHeight="1" x14ac:dyDescent="0.2"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2:26" ht="15.75" customHeight="1" x14ac:dyDescent="0.2"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2:26" ht="15.75" customHeight="1" x14ac:dyDescent="0.2"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2:26" ht="15.75" customHeight="1" x14ac:dyDescent="0.2"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2:26" ht="15.75" customHeight="1" x14ac:dyDescent="0.2"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2:26" ht="15.75" customHeight="1" x14ac:dyDescent="0.2"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2:26" ht="15.75" customHeight="1" x14ac:dyDescent="0.2"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2:26" ht="15.75" customHeight="1" x14ac:dyDescent="0.2"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2:26" ht="15.75" customHeight="1" x14ac:dyDescent="0.2"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2:26" ht="15.75" customHeight="1" x14ac:dyDescent="0.2"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2:26" ht="15.75" customHeight="1" x14ac:dyDescent="0.2"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2:26" ht="15.75" customHeight="1" x14ac:dyDescent="0.2"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2:26" ht="15.75" customHeight="1" x14ac:dyDescent="0.2"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2:26" ht="15.75" customHeight="1" x14ac:dyDescent="0.2"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2:26" ht="15.75" customHeight="1" x14ac:dyDescent="0.2"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2:26" ht="15.75" customHeight="1" x14ac:dyDescent="0.2"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2:26" ht="15.75" customHeight="1" x14ac:dyDescent="0.2"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2:26" ht="15.75" customHeight="1" x14ac:dyDescent="0.2"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2:26" ht="15.75" customHeight="1" x14ac:dyDescent="0.2"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2:26" ht="15.75" customHeight="1" x14ac:dyDescent="0.2"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2:26" ht="15.75" customHeight="1" x14ac:dyDescent="0.2"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2:26" ht="15.75" customHeight="1" x14ac:dyDescent="0.2"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2:26" ht="15.75" customHeight="1" x14ac:dyDescent="0.2"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2:26" ht="15.75" customHeight="1" x14ac:dyDescent="0.2"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2:26" ht="15.75" customHeight="1" x14ac:dyDescent="0.2"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2:26" ht="15.75" customHeight="1" x14ac:dyDescent="0.2"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2:26" ht="15.75" customHeight="1" x14ac:dyDescent="0.2"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2:26" ht="15.75" customHeight="1" x14ac:dyDescent="0.2"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2:26" ht="15.75" customHeight="1" x14ac:dyDescent="0.2"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2:26" ht="15.75" customHeight="1" x14ac:dyDescent="0.2"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2:26" ht="15.75" customHeight="1" x14ac:dyDescent="0.2"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2:26" ht="15.75" customHeight="1" x14ac:dyDescent="0.2"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2:26" ht="15.75" customHeight="1" x14ac:dyDescent="0.2"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2:26" ht="15.75" customHeight="1" x14ac:dyDescent="0.2"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2:26" ht="15.75" customHeight="1" x14ac:dyDescent="0.2"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2:26" ht="15.75" customHeight="1" x14ac:dyDescent="0.2"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2:26" ht="15.75" customHeight="1" x14ac:dyDescent="0.2"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2:26" ht="15.75" customHeight="1" x14ac:dyDescent="0.2"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2:26" ht="15.75" customHeight="1" x14ac:dyDescent="0.2"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2:26" ht="15.75" customHeight="1" x14ac:dyDescent="0.2"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2:26" ht="15.75" customHeight="1" x14ac:dyDescent="0.2"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2:26" ht="15.75" customHeight="1" x14ac:dyDescent="0.2"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2:26" ht="15.75" customHeight="1" x14ac:dyDescent="0.2"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2:26" ht="15.75" customHeight="1" x14ac:dyDescent="0.2"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2:26" ht="15.75" customHeight="1" x14ac:dyDescent="0.2"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2:26" ht="15.75" customHeight="1" x14ac:dyDescent="0.2"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2:26" ht="15.75" customHeight="1" x14ac:dyDescent="0.2"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2:26" ht="15.75" customHeight="1" x14ac:dyDescent="0.2"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2:26" ht="15.75" customHeight="1" x14ac:dyDescent="0.2"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2:26" ht="15.75" customHeight="1" x14ac:dyDescent="0.2"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2:26" ht="15.75" customHeight="1" x14ac:dyDescent="0.2"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2:26" ht="15.75" customHeight="1" x14ac:dyDescent="0.2"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2:26" ht="15.75" customHeight="1" x14ac:dyDescent="0.2"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2:26" ht="15.75" customHeight="1" x14ac:dyDescent="0.2"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2:26" ht="15.75" customHeight="1" x14ac:dyDescent="0.2"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2:26" ht="15.75" customHeight="1" x14ac:dyDescent="0.2"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2:26" ht="15.75" customHeight="1" x14ac:dyDescent="0.2"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2:26" ht="15.75" customHeight="1" x14ac:dyDescent="0.2"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2:26" ht="15.75" customHeight="1" x14ac:dyDescent="0.2"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2:26" ht="15.75" customHeight="1" x14ac:dyDescent="0.2"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2:26" ht="15.75" customHeight="1" x14ac:dyDescent="0.2"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2:26" ht="15.75" customHeight="1" x14ac:dyDescent="0.2"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2:26" ht="15.75" customHeight="1" x14ac:dyDescent="0.2"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2:26" ht="15.75" customHeight="1" x14ac:dyDescent="0.2"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2:26" ht="15.75" customHeight="1" x14ac:dyDescent="0.2"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2:26" ht="15.75" customHeight="1" x14ac:dyDescent="0.2"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2:26" ht="15.75" customHeight="1" x14ac:dyDescent="0.2"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2:26" ht="15.75" customHeight="1" x14ac:dyDescent="0.2"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2:26" ht="15.75" customHeight="1" x14ac:dyDescent="0.2"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2:26" ht="15.75" customHeight="1" x14ac:dyDescent="0.2"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2:26" ht="15.75" customHeight="1" x14ac:dyDescent="0.2"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2:26" ht="15.75" customHeight="1" x14ac:dyDescent="0.2"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2:26" ht="15.75" customHeight="1" x14ac:dyDescent="0.2"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2:26" ht="15.75" customHeight="1" x14ac:dyDescent="0.2"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2:26" ht="15.75" customHeight="1" x14ac:dyDescent="0.2"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2:26" ht="15.75" customHeight="1" x14ac:dyDescent="0.2"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2:26" ht="15.75" customHeight="1" x14ac:dyDescent="0.2"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2:26" ht="15.75" customHeight="1" x14ac:dyDescent="0.2"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2:26" ht="15.75" customHeight="1" x14ac:dyDescent="0.2"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2:26" ht="15.75" customHeight="1" x14ac:dyDescent="0.2"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2:26" ht="15.75" customHeight="1" x14ac:dyDescent="0.2"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2:26" ht="15.75" customHeight="1" x14ac:dyDescent="0.2"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2:26" ht="15.75" customHeight="1" x14ac:dyDescent="0.2"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2:26" ht="15.75" customHeight="1" x14ac:dyDescent="0.2"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2:26" ht="15.75" customHeight="1" x14ac:dyDescent="0.2"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2:26" ht="15.75" customHeight="1" x14ac:dyDescent="0.2"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2:26" ht="15.75" customHeight="1" x14ac:dyDescent="0.2"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2:26" ht="15.75" customHeight="1" x14ac:dyDescent="0.2"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2:26" ht="15.75" customHeight="1" x14ac:dyDescent="0.2"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2:26" ht="15.75" customHeight="1" x14ac:dyDescent="0.2"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2:26" ht="15.75" customHeight="1" x14ac:dyDescent="0.2"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2:26" ht="15.75" customHeight="1" x14ac:dyDescent="0.2"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2:26" ht="15.75" customHeight="1" x14ac:dyDescent="0.2"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2:26" ht="15.75" customHeight="1" x14ac:dyDescent="0.2"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2:26" ht="15.75" customHeight="1" x14ac:dyDescent="0.2"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2:26" ht="15.75" customHeight="1" x14ac:dyDescent="0.2"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2:26" ht="15.75" customHeight="1" x14ac:dyDescent="0.2"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2:26" ht="15.75" customHeight="1" x14ac:dyDescent="0.2"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2:26" ht="15.75" customHeight="1" x14ac:dyDescent="0.2"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2:26" ht="15.75" customHeight="1" x14ac:dyDescent="0.2"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2:26" ht="15.75" customHeight="1" x14ac:dyDescent="0.2"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2:26" ht="15.75" customHeight="1" x14ac:dyDescent="0.2"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2:26" ht="15.75" customHeight="1" x14ac:dyDescent="0.2"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2:26" ht="15.75" customHeight="1" x14ac:dyDescent="0.2"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2:26" ht="15.75" customHeight="1" x14ac:dyDescent="0.2"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2:26" ht="15.75" customHeight="1" x14ac:dyDescent="0.2"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2:26" ht="15.75" customHeight="1" x14ac:dyDescent="0.2"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2:26" ht="15.75" customHeight="1" x14ac:dyDescent="0.2"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2:26" ht="15.75" customHeight="1" x14ac:dyDescent="0.2"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2:26" ht="15.75" customHeight="1" x14ac:dyDescent="0.2"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2:26" ht="15.75" customHeight="1" x14ac:dyDescent="0.2"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2:26" ht="15.75" customHeight="1" x14ac:dyDescent="0.2"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2:26" ht="15.75" customHeight="1" x14ac:dyDescent="0.2"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2:26" ht="15.75" customHeight="1" x14ac:dyDescent="0.2"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2:26" ht="15.75" customHeight="1" x14ac:dyDescent="0.2"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2:26" ht="15.75" customHeight="1" x14ac:dyDescent="0.2"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2:26" ht="15.75" customHeight="1" x14ac:dyDescent="0.2"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2:26" ht="15.75" customHeight="1" x14ac:dyDescent="0.2"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2:26" ht="15.75" customHeight="1" x14ac:dyDescent="0.2"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2:26" ht="15.75" customHeight="1" x14ac:dyDescent="0.2"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2:26" ht="15.75" customHeight="1" x14ac:dyDescent="0.2"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2:26" ht="15.75" customHeight="1" x14ac:dyDescent="0.2"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2:26" ht="15.75" customHeight="1" x14ac:dyDescent="0.2"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2:26" ht="15.75" customHeight="1" x14ac:dyDescent="0.2"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2:26" ht="15.75" customHeight="1" x14ac:dyDescent="0.2"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2:26" ht="15.75" customHeight="1" x14ac:dyDescent="0.2"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2:26" ht="15.75" customHeight="1" x14ac:dyDescent="0.2"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2:26" ht="15.75" customHeight="1" x14ac:dyDescent="0.2"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2:26" ht="15.75" customHeight="1" x14ac:dyDescent="0.2"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2:26" ht="15.75" customHeight="1" x14ac:dyDescent="0.2"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2:26" ht="15.75" customHeight="1" x14ac:dyDescent="0.2"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2:26" ht="15.75" customHeight="1" x14ac:dyDescent="0.2"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2:26" ht="15.75" customHeight="1" x14ac:dyDescent="0.2"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2:26" ht="15.75" customHeight="1" x14ac:dyDescent="0.2"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2:26" ht="15.75" customHeight="1" x14ac:dyDescent="0.2"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2:26" ht="15.75" customHeight="1" x14ac:dyDescent="0.2"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2:26" ht="15.75" customHeight="1" x14ac:dyDescent="0.2"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2:26" ht="15.75" customHeight="1" x14ac:dyDescent="0.2"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2:26" ht="15.75" customHeight="1" x14ac:dyDescent="0.2"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2:26" ht="15.75" customHeight="1" x14ac:dyDescent="0.2"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2:26" ht="15.75" customHeight="1" x14ac:dyDescent="0.2"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2:26" ht="15.75" customHeight="1" x14ac:dyDescent="0.2"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2:26" ht="15.75" customHeight="1" x14ac:dyDescent="0.2"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2:26" ht="15.75" customHeight="1" x14ac:dyDescent="0.2"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2:26" ht="15.75" customHeight="1" x14ac:dyDescent="0.2"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2:26" ht="15.75" customHeight="1" x14ac:dyDescent="0.2"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2:26" ht="15.75" customHeight="1" x14ac:dyDescent="0.2"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2:26" ht="15.75" customHeight="1" x14ac:dyDescent="0.2"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2:26" ht="15.75" customHeight="1" x14ac:dyDescent="0.2"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2:26" ht="15.75" customHeight="1" x14ac:dyDescent="0.2"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2:26" ht="15.75" customHeight="1" x14ac:dyDescent="0.2"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2:26" ht="15.75" customHeight="1" x14ac:dyDescent="0.2"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2:26" ht="15.75" customHeight="1" x14ac:dyDescent="0.2"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2:26" ht="15.75" customHeight="1" x14ac:dyDescent="0.2"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2:26" ht="15.75" customHeight="1" x14ac:dyDescent="0.2"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2:26" ht="15.75" customHeight="1" x14ac:dyDescent="0.2"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2:26" ht="15.75" customHeight="1" x14ac:dyDescent="0.2"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2:26" ht="15.75" customHeight="1" x14ac:dyDescent="0.2"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2:26" ht="15.75" customHeight="1" x14ac:dyDescent="0.2"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2:26" ht="15.75" customHeight="1" x14ac:dyDescent="0.2"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2:26" ht="15.75" customHeight="1" x14ac:dyDescent="0.2"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2:26" ht="15.75" customHeight="1" x14ac:dyDescent="0.2"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2:26" ht="15.75" customHeight="1" x14ac:dyDescent="0.2"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2:26" ht="15.75" customHeight="1" x14ac:dyDescent="0.2"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2:26" ht="15.75" customHeight="1" x14ac:dyDescent="0.2"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2:26" ht="15.75" customHeight="1" x14ac:dyDescent="0.2"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2:26" ht="15.75" customHeight="1" x14ac:dyDescent="0.2"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2:26" ht="15.75" customHeight="1" x14ac:dyDescent="0.2"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2:26" ht="15.75" customHeight="1" x14ac:dyDescent="0.2"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2:26" ht="15.75" customHeight="1" x14ac:dyDescent="0.2"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2:26" ht="15.75" customHeight="1" x14ac:dyDescent="0.2"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2:26" ht="15.75" customHeight="1" x14ac:dyDescent="0.2"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2:26" ht="15.75" customHeight="1" x14ac:dyDescent="0.2"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2:26" ht="15.75" customHeight="1" x14ac:dyDescent="0.2"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2:26" ht="15.75" customHeight="1" x14ac:dyDescent="0.2"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2:26" ht="15.75" customHeight="1" x14ac:dyDescent="0.2"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2:26" ht="15.75" customHeight="1" x14ac:dyDescent="0.2"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2:26" ht="15.75" customHeight="1" x14ac:dyDescent="0.2"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2:26" ht="15.75" customHeight="1" x14ac:dyDescent="0.2"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2:26" ht="15.75" customHeight="1" x14ac:dyDescent="0.2"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2:26" ht="15.75" customHeight="1" x14ac:dyDescent="0.2"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2:26" ht="15.75" customHeight="1" x14ac:dyDescent="0.2"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2:26" ht="15.75" customHeight="1" x14ac:dyDescent="0.2"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2:26" ht="15.75" customHeight="1" x14ac:dyDescent="0.2"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2:26" ht="15.75" customHeight="1" x14ac:dyDescent="0.2"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2:26" ht="15.75" customHeight="1" x14ac:dyDescent="0.2"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2:26" ht="15.75" customHeight="1" x14ac:dyDescent="0.2"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2:26" ht="15.75" customHeight="1" x14ac:dyDescent="0.2"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2:26" ht="15.75" customHeight="1" x14ac:dyDescent="0.2"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2:26" ht="15.75" customHeight="1" x14ac:dyDescent="0.2"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2:26" ht="15.75" customHeight="1" x14ac:dyDescent="0.2"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2:26" ht="15.75" customHeight="1" x14ac:dyDescent="0.2"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2:26" ht="15.75" customHeight="1" x14ac:dyDescent="0.2"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2:26" ht="15.75" customHeight="1" x14ac:dyDescent="0.2"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2:26" ht="15.75" customHeight="1" x14ac:dyDescent="0.2"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2:26" ht="15.75" customHeight="1" x14ac:dyDescent="0.2"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2:26" ht="15.75" customHeight="1" x14ac:dyDescent="0.2"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2:26" ht="15.75" customHeight="1" x14ac:dyDescent="0.2"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2:26" ht="15.75" customHeight="1" x14ac:dyDescent="0.2"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2:26" ht="15.75" customHeight="1" x14ac:dyDescent="0.2"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2:26" ht="15.75" customHeight="1" x14ac:dyDescent="0.2"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2:26" ht="15.75" customHeight="1" x14ac:dyDescent="0.2"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2:26" ht="15.75" customHeight="1" x14ac:dyDescent="0.2"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2:26" ht="15.75" customHeight="1" x14ac:dyDescent="0.2"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2:26" ht="15.75" customHeight="1" x14ac:dyDescent="0.2"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2:26" ht="15.75" customHeight="1" x14ac:dyDescent="0.2"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2:26" ht="15.75" customHeight="1" x14ac:dyDescent="0.2"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2:26" ht="15.75" customHeight="1" x14ac:dyDescent="0.2"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2:26" ht="15.75" customHeight="1" x14ac:dyDescent="0.2"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2:26" ht="15.75" customHeight="1" x14ac:dyDescent="0.2"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2:26" ht="15.75" customHeight="1" x14ac:dyDescent="0.2"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2:26" ht="15.75" customHeight="1" x14ac:dyDescent="0.2"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2:26" ht="15.75" customHeight="1" x14ac:dyDescent="0.2"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2:26" ht="15.75" customHeight="1" x14ac:dyDescent="0.2"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2:26" ht="15.75" customHeight="1" x14ac:dyDescent="0.2"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2:26" ht="15.75" customHeight="1" x14ac:dyDescent="0.2"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2:26" ht="15.75" customHeight="1" x14ac:dyDescent="0.2"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2:26" ht="15.75" customHeight="1" x14ac:dyDescent="0.2"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2:26" ht="15.75" customHeight="1" x14ac:dyDescent="0.2"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2:26" ht="15.75" customHeight="1" x14ac:dyDescent="0.2"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2:26" ht="15.75" customHeight="1" x14ac:dyDescent="0.2"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2:26" ht="15.75" customHeight="1" x14ac:dyDescent="0.2"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2:26" ht="15.75" customHeight="1" x14ac:dyDescent="0.2"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2:26" ht="15.75" customHeight="1" x14ac:dyDescent="0.2"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2:26" ht="15.75" customHeight="1" x14ac:dyDescent="0.2"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2:26" ht="15.75" customHeight="1" x14ac:dyDescent="0.2"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2:26" ht="15.75" customHeight="1" x14ac:dyDescent="0.2"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2:26" ht="15.75" customHeight="1" x14ac:dyDescent="0.2"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2:26" ht="15.75" customHeight="1" x14ac:dyDescent="0.2"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2:26" ht="15.75" customHeight="1" x14ac:dyDescent="0.2"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2:26" ht="15.75" customHeight="1" x14ac:dyDescent="0.2"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2:26" ht="15.75" customHeight="1" x14ac:dyDescent="0.2"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2:26" ht="15.75" customHeight="1" x14ac:dyDescent="0.2"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2:26" ht="15.75" customHeight="1" x14ac:dyDescent="0.2"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2:26" ht="15.75" customHeight="1" x14ac:dyDescent="0.2"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2:26" ht="15.75" customHeight="1" x14ac:dyDescent="0.2"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2:26" ht="15.75" customHeight="1" x14ac:dyDescent="0.2"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2:26" ht="15.75" customHeight="1" x14ac:dyDescent="0.2"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2:26" ht="15.75" customHeight="1" x14ac:dyDescent="0.2"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2:26" ht="15.75" customHeight="1" x14ac:dyDescent="0.2"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2:26" ht="15.75" customHeight="1" x14ac:dyDescent="0.2"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2:26" ht="15.75" customHeight="1" x14ac:dyDescent="0.2"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2:26" ht="15.75" customHeight="1" x14ac:dyDescent="0.2"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2:26" ht="15.75" customHeight="1" x14ac:dyDescent="0.2"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2:26" ht="15.75" customHeight="1" x14ac:dyDescent="0.2"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2:26" ht="15.75" customHeight="1" x14ac:dyDescent="0.2"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2:26" ht="15.75" customHeight="1" x14ac:dyDescent="0.2"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2:26" ht="15.75" customHeight="1" x14ac:dyDescent="0.2"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2:26" ht="15.75" customHeight="1" x14ac:dyDescent="0.2"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2:26" ht="15.75" customHeight="1" x14ac:dyDescent="0.2"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2:26" ht="15.75" customHeight="1" x14ac:dyDescent="0.2"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2:26" ht="15.75" customHeight="1" x14ac:dyDescent="0.2"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2:26" ht="15.75" customHeight="1" x14ac:dyDescent="0.2"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2:26" ht="15.75" customHeight="1" x14ac:dyDescent="0.2"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2:26" ht="15.75" customHeight="1" x14ac:dyDescent="0.2"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2:26" ht="15.75" customHeight="1" x14ac:dyDescent="0.2"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2:26" ht="15.75" customHeight="1" x14ac:dyDescent="0.2"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2:26" ht="15.75" customHeight="1" x14ac:dyDescent="0.2"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2:26" ht="15.75" customHeight="1" x14ac:dyDescent="0.2"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2:26" ht="15.75" customHeight="1" x14ac:dyDescent="0.2"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2:26" ht="15.75" customHeight="1" x14ac:dyDescent="0.2"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2:26" ht="15.75" customHeight="1" x14ac:dyDescent="0.2"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2:26" ht="15.75" customHeight="1" x14ac:dyDescent="0.2"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2:26" ht="15.75" customHeight="1" x14ac:dyDescent="0.2"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2:26" ht="15.75" customHeight="1" x14ac:dyDescent="0.2"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2:26" ht="15.75" customHeight="1" x14ac:dyDescent="0.2"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2:26" ht="15.75" customHeight="1" x14ac:dyDescent="0.2"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2:26" ht="15.75" customHeight="1" x14ac:dyDescent="0.2"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2:26" ht="15.75" customHeight="1" x14ac:dyDescent="0.2"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2:26" ht="15.75" customHeight="1" x14ac:dyDescent="0.2"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2:26" ht="15.75" customHeight="1" x14ac:dyDescent="0.2"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2:26" ht="15.75" customHeight="1" x14ac:dyDescent="0.2"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2:26" ht="15.75" customHeight="1" x14ac:dyDescent="0.2"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2:26" ht="15.75" customHeight="1" x14ac:dyDescent="0.2"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2:26" ht="15.75" customHeight="1" x14ac:dyDescent="0.2"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2:26" ht="15.75" customHeight="1" x14ac:dyDescent="0.2"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2:26" ht="15.75" customHeight="1" x14ac:dyDescent="0.2"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2:26" ht="15.75" customHeight="1" x14ac:dyDescent="0.2"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2:26" ht="15.75" customHeight="1" x14ac:dyDescent="0.2"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2:26" ht="15.75" customHeight="1" x14ac:dyDescent="0.2"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2:26" ht="15.75" customHeight="1" x14ac:dyDescent="0.2"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2:26" ht="15.75" customHeight="1" x14ac:dyDescent="0.2"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2:26" ht="15.75" customHeight="1" x14ac:dyDescent="0.2"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2:26" ht="15.75" customHeight="1" x14ac:dyDescent="0.2"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2:26" ht="15.75" customHeight="1" x14ac:dyDescent="0.2"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2:26" ht="15.75" customHeight="1" x14ac:dyDescent="0.2"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2:26" ht="15.75" customHeight="1" x14ac:dyDescent="0.2"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2:26" ht="15.75" customHeight="1" x14ac:dyDescent="0.2"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2:26" ht="15.75" customHeight="1" x14ac:dyDescent="0.2"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2:26" ht="15.75" customHeight="1" x14ac:dyDescent="0.2"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2:26" ht="15.75" customHeight="1" x14ac:dyDescent="0.2"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2:26" ht="15.75" customHeight="1" x14ac:dyDescent="0.2"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2:26" ht="15.75" customHeight="1" x14ac:dyDescent="0.2"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2:26" ht="15.75" customHeight="1" x14ac:dyDescent="0.2"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2:26" ht="15.75" customHeight="1" x14ac:dyDescent="0.2"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2:26" ht="15.75" customHeight="1" x14ac:dyDescent="0.2"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2:26" ht="15.75" customHeight="1" x14ac:dyDescent="0.2"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2:26" ht="15.75" customHeight="1" x14ac:dyDescent="0.2"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2:26" ht="15.75" customHeight="1" x14ac:dyDescent="0.2"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2:26" ht="15.75" customHeight="1" x14ac:dyDescent="0.2"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2:26" ht="15.75" customHeight="1" x14ac:dyDescent="0.2"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2:26" ht="15.75" customHeight="1" x14ac:dyDescent="0.2"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2:26" ht="15.75" customHeight="1" x14ac:dyDescent="0.2"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2:26" ht="15.75" customHeight="1" x14ac:dyDescent="0.2"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2:26" ht="15.75" customHeight="1" x14ac:dyDescent="0.2"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2:26" ht="15.75" customHeight="1" x14ac:dyDescent="0.2"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2:26" ht="15.75" customHeight="1" x14ac:dyDescent="0.2"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2:26" ht="15.75" customHeight="1" x14ac:dyDescent="0.2"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2:26" ht="15.75" customHeight="1" x14ac:dyDescent="0.2"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2:26" ht="15.75" customHeight="1" x14ac:dyDescent="0.2"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2:26" ht="15.75" customHeight="1" x14ac:dyDescent="0.2"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2:26" ht="15.75" customHeight="1" x14ac:dyDescent="0.2"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2:26" ht="15.75" customHeight="1" x14ac:dyDescent="0.2"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2:26" ht="15.75" customHeight="1" x14ac:dyDescent="0.2"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2:26" ht="15.75" customHeight="1" x14ac:dyDescent="0.2"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2:26" ht="15.75" customHeight="1" x14ac:dyDescent="0.2"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2:26" ht="15.75" customHeight="1" x14ac:dyDescent="0.2"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2:26" ht="15.75" customHeight="1" x14ac:dyDescent="0.2"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2:26" ht="15.75" customHeight="1" x14ac:dyDescent="0.2"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2:26" ht="15.75" customHeight="1" x14ac:dyDescent="0.2"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2:26" ht="15.75" customHeight="1" x14ac:dyDescent="0.2"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2:26" ht="15.75" customHeight="1" x14ac:dyDescent="0.2"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2:26" ht="15.75" customHeight="1" x14ac:dyDescent="0.2"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2:26" ht="15.75" customHeight="1" x14ac:dyDescent="0.2"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2:26" ht="15.75" customHeight="1" x14ac:dyDescent="0.2"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2:26" ht="15.75" customHeight="1" x14ac:dyDescent="0.2"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2:26" ht="15.75" customHeight="1" x14ac:dyDescent="0.2"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2:26" ht="15.75" customHeight="1" x14ac:dyDescent="0.2"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2:26" ht="15.75" customHeight="1" x14ac:dyDescent="0.2"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2:26" ht="15.75" customHeight="1" x14ac:dyDescent="0.2"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2:26" ht="15.75" customHeight="1" x14ac:dyDescent="0.2"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2:26" ht="15.75" customHeight="1" x14ac:dyDescent="0.2"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2:26" ht="15.75" customHeight="1" x14ac:dyDescent="0.2"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2:26" ht="15.75" customHeight="1" x14ac:dyDescent="0.2"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2:26" ht="15.75" customHeight="1" x14ac:dyDescent="0.2"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2:26" ht="15.75" customHeight="1" x14ac:dyDescent="0.2"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2:26" ht="15.75" customHeight="1" x14ac:dyDescent="0.2"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2:26" ht="15.75" customHeight="1" x14ac:dyDescent="0.2"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2:26" ht="15.75" customHeight="1" x14ac:dyDescent="0.2"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2:26" ht="15.75" customHeight="1" x14ac:dyDescent="0.2"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2:26" ht="15.75" customHeight="1" x14ac:dyDescent="0.2"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2:26" ht="15.75" customHeight="1" x14ac:dyDescent="0.2"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2:26" ht="15.75" customHeight="1" x14ac:dyDescent="0.2"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2:26" ht="15.75" customHeight="1" x14ac:dyDescent="0.2"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2:26" ht="15.75" customHeight="1" x14ac:dyDescent="0.2"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2:26" ht="15.75" customHeight="1" x14ac:dyDescent="0.2"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2:26" ht="15.75" customHeight="1" x14ac:dyDescent="0.2"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2:26" ht="15.75" customHeight="1" x14ac:dyDescent="0.2"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2:26" ht="15.75" customHeight="1" x14ac:dyDescent="0.2"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2:26" ht="15.75" customHeight="1" x14ac:dyDescent="0.2"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2:26" ht="15.75" customHeight="1" x14ac:dyDescent="0.2"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2:26" ht="15.75" customHeight="1" x14ac:dyDescent="0.2"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2:26" ht="15.75" customHeight="1" x14ac:dyDescent="0.2"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2:26" ht="15.75" customHeight="1" x14ac:dyDescent="0.2"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2:26" ht="15.75" customHeight="1" x14ac:dyDescent="0.2"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2:26" ht="15.75" customHeight="1" x14ac:dyDescent="0.2"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2:26" ht="15.75" customHeight="1" x14ac:dyDescent="0.2"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2:26" ht="15.75" customHeight="1" x14ac:dyDescent="0.2"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2:26" ht="15.75" customHeight="1" x14ac:dyDescent="0.2"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2:26" ht="15.75" customHeight="1" x14ac:dyDescent="0.2"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2:26" ht="15.75" customHeight="1" x14ac:dyDescent="0.2"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2:26" ht="15.75" customHeight="1" x14ac:dyDescent="0.2"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2:26" ht="15.75" customHeight="1" x14ac:dyDescent="0.2"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2:26" ht="15.75" customHeight="1" x14ac:dyDescent="0.2"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2:26" ht="15.75" customHeight="1" x14ac:dyDescent="0.2"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2:26" ht="15.75" customHeight="1" x14ac:dyDescent="0.2"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2:26" ht="15.75" customHeight="1" x14ac:dyDescent="0.2"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2:26" ht="15.75" customHeight="1" x14ac:dyDescent="0.2"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2:26" ht="15.75" customHeight="1" x14ac:dyDescent="0.2"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2:26" ht="15.75" customHeight="1" x14ac:dyDescent="0.2"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2:26" ht="15.75" customHeight="1" x14ac:dyDescent="0.2"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2:26" ht="15.75" customHeight="1" x14ac:dyDescent="0.2"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2:26" ht="15.75" customHeight="1" x14ac:dyDescent="0.2"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2:26" ht="15.75" customHeight="1" x14ac:dyDescent="0.2"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2:26" ht="15.75" customHeight="1" x14ac:dyDescent="0.2"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2:26" ht="15.75" customHeight="1" x14ac:dyDescent="0.2"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2:26" ht="15.75" customHeight="1" x14ac:dyDescent="0.2"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2:26" ht="15.75" customHeight="1" x14ac:dyDescent="0.2"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2:26" ht="15.75" customHeight="1" x14ac:dyDescent="0.2"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2:26" ht="15.75" customHeight="1" x14ac:dyDescent="0.2"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2:26" ht="15.75" customHeight="1" x14ac:dyDescent="0.2"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2:26" ht="15.75" customHeight="1" x14ac:dyDescent="0.2"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2:26" ht="15.75" customHeight="1" x14ac:dyDescent="0.2"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2:26" ht="15.75" customHeight="1" x14ac:dyDescent="0.2"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2:26" ht="15.75" customHeight="1" x14ac:dyDescent="0.2"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2:26" ht="15.75" customHeight="1" x14ac:dyDescent="0.2"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2:26" ht="15.75" customHeight="1" x14ac:dyDescent="0.2"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2:26" ht="15.75" customHeight="1" x14ac:dyDescent="0.2"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2:26" ht="15.75" customHeight="1" x14ac:dyDescent="0.2"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2:26" ht="15.75" customHeight="1" x14ac:dyDescent="0.2"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2:26" ht="15.75" customHeight="1" x14ac:dyDescent="0.2"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2:26" ht="15.75" customHeight="1" x14ac:dyDescent="0.2"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2:26" ht="15.75" customHeight="1" x14ac:dyDescent="0.2"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2:26" ht="15.75" customHeight="1" x14ac:dyDescent="0.2"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2:26" ht="15.75" customHeight="1" x14ac:dyDescent="0.2"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2:26" ht="15.75" customHeight="1" x14ac:dyDescent="0.2"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2:26" ht="15.75" customHeight="1" x14ac:dyDescent="0.2"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2:26" ht="15.75" customHeight="1" x14ac:dyDescent="0.2"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2:26" ht="15.75" customHeight="1" x14ac:dyDescent="0.2"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2:26" ht="15.75" customHeight="1" x14ac:dyDescent="0.2"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2:26" ht="15.75" customHeight="1" x14ac:dyDescent="0.2"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2:26" ht="15.75" customHeight="1" x14ac:dyDescent="0.2"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2:26" ht="15.75" customHeight="1" x14ac:dyDescent="0.2"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2:26" ht="15.75" customHeight="1" x14ac:dyDescent="0.2"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2:26" ht="15.75" customHeight="1" x14ac:dyDescent="0.2"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2:26" ht="15.75" customHeight="1" x14ac:dyDescent="0.2"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2:26" ht="15.75" customHeight="1" x14ac:dyDescent="0.2"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2:26" ht="15.75" customHeight="1" x14ac:dyDescent="0.2"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2:26" ht="15.75" customHeight="1" x14ac:dyDescent="0.2"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2:26" ht="15.75" customHeight="1" x14ac:dyDescent="0.2"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2:26" ht="15.75" customHeight="1" x14ac:dyDescent="0.2"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2:26" ht="15.75" customHeight="1" x14ac:dyDescent="0.2"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2:26" ht="15.75" customHeight="1" x14ac:dyDescent="0.2"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2:26" ht="15.75" customHeight="1" x14ac:dyDescent="0.2"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2:26" ht="15.75" customHeight="1" x14ac:dyDescent="0.2"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2:26" ht="15.75" customHeight="1" x14ac:dyDescent="0.2"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2:26" ht="15.75" customHeight="1" x14ac:dyDescent="0.2"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2:26" ht="15.75" customHeight="1" x14ac:dyDescent="0.2"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2:26" ht="15.75" customHeight="1" x14ac:dyDescent="0.2"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2:26" ht="15.75" customHeight="1" x14ac:dyDescent="0.2"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2:26" ht="15.75" customHeight="1" x14ac:dyDescent="0.2"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2:26" ht="15.75" customHeight="1" x14ac:dyDescent="0.2"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2:26" ht="15.75" customHeight="1" x14ac:dyDescent="0.2"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2:26" ht="15.75" customHeight="1" x14ac:dyDescent="0.2"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2:26" ht="15.75" customHeight="1" x14ac:dyDescent="0.2"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2:26" ht="15.75" customHeight="1" x14ac:dyDescent="0.2"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2:26" ht="15.75" customHeight="1" x14ac:dyDescent="0.2"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2:26" ht="15.75" customHeight="1" x14ac:dyDescent="0.2"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2:26" ht="15.75" customHeight="1" x14ac:dyDescent="0.2"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2:26" ht="15.75" customHeight="1" x14ac:dyDescent="0.2"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2:26" ht="15.75" customHeight="1" x14ac:dyDescent="0.2"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2:26" ht="15.75" customHeight="1" x14ac:dyDescent="0.2"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2:26" ht="15.75" customHeight="1" x14ac:dyDescent="0.2"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2:26" ht="15.75" customHeight="1" x14ac:dyDescent="0.2"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2:26" ht="15.75" customHeight="1" x14ac:dyDescent="0.2"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2:26" ht="15.75" customHeight="1" x14ac:dyDescent="0.2"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2:26" ht="15.75" customHeight="1" x14ac:dyDescent="0.2"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2:26" ht="15.75" customHeight="1" x14ac:dyDescent="0.2"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2:26" ht="15.75" customHeight="1" x14ac:dyDescent="0.2"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2:26" ht="15.75" customHeight="1" x14ac:dyDescent="0.2"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2:26" ht="15.75" customHeight="1" x14ac:dyDescent="0.2"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2:26" ht="15.75" customHeight="1" x14ac:dyDescent="0.2"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2:26" ht="15.75" customHeight="1" x14ac:dyDescent="0.2"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2:26" ht="15.75" customHeight="1" x14ac:dyDescent="0.2"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2:26" ht="15.75" customHeight="1" x14ac:dyDescent="0.2"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2:26" ht="15.75" customHeight="1" x14ac:dyDescent="0.2"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2:26" ht="15.75" customHeight="1" x14ac:dyDescent="0.2"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2:26" ht="15.75" customHeight="1" x14ac:dyDescent="0.2"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2:26" ht="15.75" customHeight="1" x14ac:dyDescent="0.2"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2:26" ht="15.75" customHeight="1" x14ac:dyDescent="0.2"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2:26" ht="15.75" customHeight="1" x14ac:dyDescent="0.2"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2:26" ht="15.75" customHeight="1" x14ac:dyDescent="0.2"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2:26" ht="15.75" customHeight="1" x14ac:dyDescent="0.2"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2:26" ht="15.75" customHeight="1" x14ac:dyDescent="0.2"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2:26" ht="15.75" customHeight="1" x14ac:dyDescent="0.2"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2:26" ht="15.75" customHeight="1" x14ac:dyDescent="0.2"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2:26" ht="15.75" customHeight="1" x14ac:dyDescent="0.2"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2:26" ht="15.75" customHeight="1" x14ac:dyDescent="0.2"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2:26" ht="15.75" customHeight="1" x14ac:dyDescent="0.2"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2:26" ht="15.75" customHeight="1" x14ac:dyDescent="0.2"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2:26" ht="15.75" customHeight="1" x14ac:dyDescent="0.2"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2:26" ht="15.75" customHeight="1" x14ac:dyDescent="0.2"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2:26" ht="15.75" customHeight="1" x14ac:dyDescent="0.2"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2:26" ht="15.75" customHeight="1" x14ac:dyDescent="0.2"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2:26" ht="15.75" customHeight="1" x14ac:dyDescent="0.2"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2:26" ht="15.75" customHeight="1" x14ac:dyDescent="0.2"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2:26" ht="15.75" customHeight="1" x14ac:dyDescent="0.2"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2:26" ht="15.75" customHeight="1" x14ac:dyDescent="0.2"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2:26" ht="15.75" customHeight="1" x14ac:dyDescent="0.2"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2:26" ht="15.75" customHeight="1" x14ac:dyDescent="0.2"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2:26" ht="15.75" customHeight="1" x14ac:dyDescent="0.2"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2:26" ht="15.75" customHeight="1" x14ac:dyDescent="0.2"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2:26" ht="15.75" customHeight="1" x14ac:dyDescent="0.2"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2:26" ht="15.75" customHeight="1" x14ac:dyDescent="0.2"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2:26" ht="15.75" customHeight="1" x14ac:dyDescent="0.2"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2:26" ht="15.75" customHeight="1" x14ac:dyDescent="0.2"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2:26" ht="15.75" customHeight="1" x14ac:dyDescent="0.2"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2:26" ht="15.75" customHeight="1" x14ac:dyDescent="0.2"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2:26" ht="15.75" customHeight="1" x14ac:dyDescent="0.2"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2:26" ht="15.75" customHeight="1" x14ac:dyDescent="0.2"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2:26" ht="15.75" customHeight="1" x14ac:dyDescent="0.2"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2:26" ht="15.75" customHeight="1" x14ac:dyDescent="0.2"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2:26" ht="15.75" customHeight="1" x14ac:dyDescent="0.2"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2:26" ht="15.75" customHeight="1" x14ac:dyDescent="0.2"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2:26" ht="15.75" customHeight="1" x14ac:dyDescent="0.2"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2:26" ht="15.75" customHeight="1" x14ac:dyDescent="0.2"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2:26" ht="15.75" customHeight="1" x14ac:dyDescent="0.2"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2:26" ht="15.75" customHeight="1" x14ac:dyDescent="0.2"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2:26" ht="15.75" customHeight="1" x14ac:dyDescent="0.2"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2:26" ht="15.75" customHeight="1" x14ac:dyDescent="0.2"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2:26" ht="15.75" customHeight="1" x14ac:dyDescent="0.2"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2:26" ht="15.75" customHeight="1" x14ac:dyDescent="0.2"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2:26" ht="15.75" customHeight="1" x14ac:dyDescent="0.2"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2:26" ht="15.75" customHeight="1" x14ac:dyDescent="0.2"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2:26" ht="15.75" customHeight="1" x14ac:dyDescent="0.2"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2:26" ht="15.75" customHeight="1" x14ac:dyDescent="0.2"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2:26" ht="15.75" customHeight="1" x14ac:dyDescent="0.2"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2:26" ht="15.75" customHeight="1" x14ac:dyDescent="0.2"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2:26" ht="15.75" customHeight="1" x14ac:dyDescent="0.2"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2:26" ht="15.75" customHeight="1" x14ac:dyDescent="0.2"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2:26" ht="15.75" customHeight="1" x14ac:dyDescent="0.2"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2:26" ht="15.75" customHeight="1" x14ac:dyDescent="0.2"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2:26" ht="15.75" customHeight="1" x14ac:dyDescent="0.2"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2:26" ht="15.75" customHeight="1" x14ac:dyDescent="0.2"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2:26" ht="15.75" customHeight="1" x14ac:dyDescent="0.2"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2:26" ht="15.75" customHeight="1" x14ac:dyDescent="0.2"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2:26" ht="15.75" customHeight="1" x14ac:dyDescent="0.2"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2:26" ht="15.75" customHeight="1" x14ac:dyDescent="0.2"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2:26" ht="15.75" customHeight="1" x14ac:dyDescent="0.2"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2:26" ht="15.75" customHeight="1" x14ac:dyDescent="0.2"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2:26" ht="15.75" customHeight="1" x14ac:dyDescent="0.2"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2:26" ht="15.75" customHeight="1" x14ac:dyDescent="0.2"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2:26" ht="15.75" customHeight="1" x14ac:dyDescent="0.2"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2:26" ht="15.75" customHeight="1" x14ac:dyDescent="0.2"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2:26" ht="15.75" customHeight="1" x14ac:dyDescent="0.2"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2:26" ht="15.75" customHeight="1" x14ac:dyDescent="0.2"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2:26" ht="15.75" customHeight="1" x14ac:dyDescent="0.2"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2:26" ht="15.75" customHeight="1" x14ac:dyDescent="0.2"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2:26" ht="15.75" customHeight="1" x14ac:dyDescent="0.2"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2:26" ht="15.75" customHeight="1" x14ac:dyDescent="0.2"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2:26" ht="15.75" customHeight="1" x14ac:dyDescent="0.2"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2:26" ht="15.75" customHeight="1" x14ac:dyDescent="0.2"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2:26" ht="15.75" customHeight="1" x14ac:dyDescent="0.2"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2:26" ht="15.75" customHeight="1" x14ac:dyDescent="0.2"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2:26" ht="15.75" customHeight="1" x14ac:dyDescent="0.2"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2:26" ht="15.75" customHeight="1" x14ac:dyDescent="0.2"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2:26" ht="15.75" customHeight="1" x14ac:dyDescent="0.2"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2:26" ht="15.75" customHeight="1" x14ac:dyDescent="0.2"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2:26" ht="15.75" customHeight="1" x14ac:dyDescent="0.2"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2:26" ht="15.75" customHeight="1" x14ac:dyDescent="0.2"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2:26" ht="15.75" customHeight="1" x14ac:dyDescent="0.2"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2:26" ht="15.75" customHeight="1" x14ac:dyDescent="0.2"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2:26" ht="15.75" customHeight="1" x14ac:dyDescent="0.2"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2:26" ht="15.75" customHeight="1" x14ac:dyDescent="0.2"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2:26" ht="15.75" customHeight="1" x14ac:dyDescent="0.2"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2:26" ht="15.75" customHeight="1" x14ac:dyDescent="0.2"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2:26" ht="15.75" customHeight="1" x14ac:dyDescent="0.2"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2:26" ht="15.75" customHeight="1" x14ac:dyDescent="0.2"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2:26" ht="15.75" customHeight="1" x14ac:dyDescent="0.2"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2:26" ht="15.75" customHeight="1" x14ac:dyDescent="0.2"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2:26" ht="15.75" customHeight="1" x14ac:dyDescent="0.2"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2:26" ht="15.75" customHeight="1" x14ac:dyDescent="0.2"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2:26" ht="15.75" customHeight="1" x14ac:dyDescent="0.2"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2:26" ht="15.75" customHeight="1" x14ac:dyDescent="0.2"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2:26" ht="15.75" customHeight="1" x14ac:dyDescent="0.2"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2:26" ht="15.75" customHeight="1" x14ac:dyDescent="0.2"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2:26" ht="15.75" customHeight="1" x14ac:dyDescent="0.2"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2:26" ht="15.75" customHeight="1" x14ac:dyDescent="0.2"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2:26" ht="15.75" customHeight="1" x14ac:dyDescent="0.2"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2:26" ht="15.75" customHeight="1" x14ac:dyDescent="0.2"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2:26" ht="15.75" customHeight="1" x14ac:dyDescent="0.2"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2:26" ht="15.75" customHeight="1" x14ac:dyDescent="0.2"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2:26" ht="15.75" customHeight="1" x14ac:dyDescent="0.2"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2:26" ht="15.75" customHeight="1" x14ac:dyDescent="0.2"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2:26" ht="15.75" customHeight="1" x14ac:dyDescent="0.2"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2:26" ht="15.75" customHeight="1" x14ac:dyDescent="0.2"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2:26" ht="15.75" customHeight="1" x14ac:dyDescent="0.2"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2:26" ht="15.75" customHeight="1" x14ac:dyDescent="0.2"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2:26" ht="15.75" customHeight="1" x14ac:dyDescent="0.2"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2:26" ht="15.75" customHeight="1" x14ac:dyDescent="0.2"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2:26" ht="15.75" customHeight="1" x14ac:dyDescent="0.2"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2:26" ht="15.75" customHeight="1" x14ac:dyDescent="0.2"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2:26" ht="15.75" customHeight="1" x14ac:dyDescent="0.2"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2:26" ht="15.75" customHeight="1" x14ac:dyDescent="0.2"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2:26" ht="15.75" customHeight="1" x14ac:dyDescent="0.2"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2:26" ht="15.75" customHeight="1" x14ac:dyDescent="0.2"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2:26" ht="15.75" customHeight="1" x14ac:dyDescent="0.2"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2:26" ht="15.75" customHeight="1" x14ac:dyDescent="0.2"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2:26" ht="15.75" customHeight="1" x14ac:dyDescent="0.2"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2:26" ht="15.75" customHeight="1" x14ac:dyDescent="0.2"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2:26" ht="15.75" customHeight="1" x14ac:dyDescent="0.2"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2:26" ht="15.75" customHeight="1" x14ac:dyDescent="0.2"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2:26" ht="15.75" customHeight="1" x14ac:dyDescent="0.2"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2:26" ht="15.75" customHeight="1" x14ac:dyDescent="0.2"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2:26" ht="15.75" customHeight="1" x14ac:dyDescent="0.2"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2:26" ht="15.75" customHeight="1" x14ac:dyDescent="0.2"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2:26" ht="15.75" customHeight="1" x14ac:dyDescent="0.2"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2:26" ht="15.75" customHeight="1" x14ac:dyDescent="0.2"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2:26" ht="15.75" customHeight="1" x14ac:dyDescent="0.2"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2:26" ht="15.75" customHeight="1" x14ac:dyDescent="0.2"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2:26" ht="15.75" customHeight="1" x14ac:dyDescent="0.2"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2:26" ht="15.75" customHeight="1" x14ac:dyDescent="0.2"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2:26" ht="15.75" customHeight="1" x14ac:dyDescent="0.2"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2:26" ht="15.75" customHeight="1" x14ac:dyDescent="0.2"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2:26" ht="15.75" customHeight="1" x14ac:dyDescent="0.2"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2:26" ht="15.75" customHeight="1" x14ac:dyDescent="0.2"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2:26" ht="15.75" customHeight="1" x14ac:dyDescent="0.2"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2:26" ht="15.75" customHeight="1" x14ac:dyDescent="0.2"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2:26" ht="15.75" customHeight="1" x14ac:dyDescent="0.2"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2:26" ht="15.75" customHeight="1" x14ac:dyDescent="0.2"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2:26" ht="15.75" customHeight="1" x14ac:dyDescent="0.2"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2:26" ht="15.75" customHeight="1" x14ac:dyDescent="0.2"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2:26" ht="15.75" customHeight="1" x14ac:dyDescent="0.2"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2:26" ht="15.75" customHeight="1" x14ac:dyDescent="0.2"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2:26" ht="15.75" customHeight="1" x14ac:dyDescent="0.2"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2:26" ht="15.75" customHeight="1" x14ac:dyDescent="0.2"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2:26" ht="15.75" customHeight="1" x14ac:dyDescent="0.2"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2:26" ht="15.75" customHeight="1" x14ac:dyDescent="0.2"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2:26" ht="15.75" customHeight="1" x14ac:dyDescent="0.2"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2:26" ht="15.75" customHeight="1" x14ac:dyDescent="0.2"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2:26" ht="15.75" customHeight="1" x14ac:dyDescent="0.2"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2:26" ht="15.75" customHeight="1" x14ac:dyDescent="0.2"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2:26" ht="15.75" customHeight="1" x14ac:dyDescent="0.2"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2:26" ht="15.75" customHeight="1" x14ac:dyDescent="0.2"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2:26" ht="15.75" customHeight="1" x14ac:dyDescent="0.2"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2:26" ht="15.75" customHeight="1" x14ac:dyDescent="0.2"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2:26" ht="15.75" customHeight="1" x14ac:dyDescent="0.2"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2:26" ht="15.75" customHeight="1" x14ac:dyDescent="0.2"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2:26" ht="15.75" customHeight="1" x14ac:dyDescent="0.2"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2:26" ht="15.75" customHeight="1" x14ac:dyDescent="0.2"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2:26" ht="15.75" customHeight="1" x14ac:dyDescent="0.2"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2:26" ht="15.75" customHeight="1" x14ac:dyDescent="0.2"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2:26" ht="15.75" customHeight="1" x14ac:dyDescent="0.2"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2:26" ht="15.75" customHeight="1" x14ac:dyDescent="0.2"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2:26" ht="15.75" customHeight="1" x14ac:dyDescent="0.2"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2:26" ht="15.75" customHeight="1" x14ac:dyDescent="0.2"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2:26" ht="15.75" customHeight="1" x14ac:dyDescent="0.2"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2:26" ht="15.75" customHeight="1" x14ac:dyDescent="0.2"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2:26" ht="15.75" customHeight="1" x14ac:dyDescent="0.2"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2:26" ht="15.75" customHeight="1" x14ac:dyDescent="0.2"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2:26" ht="15.75" customHeight="1" x14ac:dyDescent="0.2"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2:26" ht="15.75" customHeight="1" x14ac:dyDescent="0.2"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2:26" ht="15.75" customHeight="1" x14ac:dyDescent="0.2"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2:26" ht="15.75" customHeight="1" x14ac:dyDescent="0.2"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2:26" ht="15.75" customHeight="1" x14ac:dyDescent="0.2"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2:26" ht="15.75" customHeight="1" x14ac:dyDescent="0.2"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2:26" ht="15.75" customHeight="1" x14ac:dyDescent="0.2"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2:26" ht="15.75" customHeight="1" x14ac:dyDescent="0.2"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2:26" ht="15.75" customHeight="1" x14ac:dyDescent="0.2"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2:26" ht="15.75" customHeight="1" x14ac:dyDescent="0.2"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2:26" ht="15.75" customHeight="1" x14ac:dyDescent="0.2"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2:26" ht="15.75" customHeight="1" x14ac:dyDescent="0.2"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2:26" ht="15.75" customHeight="1" x14ac:dyDescent="0.2"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2:26" ht="15.75" customHeight="1" x14ac:dyDescent="0.2"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2:26" ht="15.75" customHeight="1" x14ac:dyDescent="0.2"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2:26" ht="15.75" customHeight="1" x14ac:dyDescent="0.2"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2:26" ht="15.75" customHeight="1" x14ac:dyDescent="0.2"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2:26" ht="15.75" customHeight="1" x14ac:dyDescent="0.2"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2:26" ht="15.75" customHeight="1" x14ac:dyDescent="0.2"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2:26" ht="15.75" customHeight="1" x14ac:dyDescent="0.2"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2:26" ht="15.75" customHeight="1" x14ac:dyDescent="0.2"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2:26" ht="15.75" customHeight="1" x14ac:dyDescent="0.2"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2:26" ht="15.75" customHeight="1" x14ac:dyDescent="0.2"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2:26" ht="15.75" customHeight="1" x14ac:dyDescent="0.2"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2:26" ht="15.75" customHeight="1" x14ac:dyDescent="0.2"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2:26" ht="15.75" customHeight="1" x14ac:dyDescent="0.2"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2:26" ht="15.75" customHeight="1" x14ac:dyDescent="0.2"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2:26" ht="15.75" customHeight="1" x14ac:dyDescent="0.2"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2:26" ht="15.75" customHeight="1" x14ac:dyDescent="0.2"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2:26" ht="15.75" customHeight="1" x14ac:dyDescent="0.2"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2:26" ht="15.75" customHeight="1" x14ac:dyDescent="0.2"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2:26" ht="15.75" customHeight="1" x14ac:dyDescent="0.2"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2:26" ht="15.75" customHeight="1" x14ac:dyDescent="0.2"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2:26" ht="15.75" customHeight="1" x14ac:dyDescent="0.2"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2:26" ht="15.75" customHeight="1" x14ac:dyDescent="0.2"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2:26" ht="15.75" customHeight="1" x14ac:dyDescent="0.2"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2:26" ht="15.75" customHeight="1" x14ac:dyDescent="0.2"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2:26" ht="15.75" customHeight="1" x14ac:dyDescent="0.2"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2:26" ht="15.75" customHeight="1" x14ac:dyDescent="0.2"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2:26" ht="15.75" customHeight="1" x14ac:dyDescent="0.2"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2:26" ht="15.75" customHeight="1" x14ac:dyDescent="0.2"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2:26" ht="15.75" customHeight="1" x14ac:dyDescent="0.2"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2:26" ht="15.75" customHeight="1" x14ac:dyDescent="0.2"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2:26" ht="15.75" customHeight="1" x14ac:dyDescent="0.2"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2:26" ht="15.75" customHeight="1" x14ac:dyDescent="0.2"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2:26" ht="15.75" customHeight="1" x14ac:dyDescent="0.2"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2:26" ht="15.75" customHeight="1" x14ac:dyDescent="0.2"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2:26" ht="15.75" customHeight="1" x14ac:dyDescent="0.2"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2:26" ht="15.75" customHeight="1" x14ac:dyDescent="0.2"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2:26" ht="15.75" customHeight="1" x14ac:dyDescent="0.2"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2:26" ht="15.75" customHeight="1" x14ac:dyDescent="0.2"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2:26" ht="15.75" customHeight="1" x14ac:dyDescent="0.2"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2:26" ht="15.75" customHeight="1" x14ac:dyDescent="0.2"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2:26" ht="15.75" customHeight="1" x14ac:dyDescent="0.2"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2:26" ht="15.75" customHeight="1" x14ac:dyDescent="0.2"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2:26" ht="15.75" customHeight="1" x14ac:dyDescent="0.2"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2:26" ht="15.75" customHeight="1" x14ac:dyDescent="0.2"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2:26" ht="15.75" customHeight="1" x14ac:dyDescent="0.2"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2:26" ht="15.75" customHeight="1" x14ac:dyDescent="0.2"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2:26" ht="15.75" customHeight="1" x14ac:dyDescent="0.2"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2:26" ht="15.75" customHeight="1" x14ac:dyDescent="0.2"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2:26" ht="15.75" customHeight="1" x14ac:dyDescent="0.2"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2:26" ht="15.75" customHeight="1" x14ac:dyDescent="0.2"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2:26" ht="15.75" customHeight="1" x14ac:dyDescent="0.2"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2:26" ht="15.75" customHeight="1" x14ac:dyDescent="0.2"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2:26" ht="15.75" customHeight="1" x14ac:dyDescent="0.2"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2:26" ht="15.75" customHeight="1" x14ac:dyDescent="0.2"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2:26" ht="15.75" customHeight="1" x14ac:dyDescent="0.2"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2:26" ht="15.75" customHeight="1" x14ac:dyDescent="0.2"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2:26" ht="15.75" customHeight="1" x14ac:dyDescent="0.2"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2:26" ht="15.75" customHeight="1" x14ac:dyDescent="0.2"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2:26" ht="15.75" customHeight="1" x14ac:dyDescent="0.2"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2:26" ht="15.75" customHeight="1" x14ac:dyDescent="0.2"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2:26" ht="15.75" customHeight="1" x14ac:dyDescent="0.2"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2:26" ht="15.75" customHeight="1" x14ac:dyDescent="0.2"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2:26" ht="15.75" customHeight="1" x14ac:dyDescent="0.2"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2:26" ht="15.75" customHeight="1" x14ac:dyDescent="0.2"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2:26" ht="15.75" customHeight="1" x14ac:dyDescent="0.2"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2:26" ht="15.75" customHeight="1" x14ac:dyDescent="0.2"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2:26" ht="15.75" customHeight="1" x14ac:dyDescent="0.2"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2:26" ht="15.75" customHeight="1" x14ac:dyDescent="0.2"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2:26" ht="15.75" customHeight="1" x14ac:dyDescent="0.2"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2:26" ht="15.75" customHeight="1" x14ac:dyDescent="0.2"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2:26" ht="15.75" customHeight="1" x14ac:dyDescent="0.2"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2:26" ht="15.75" customHeight="1" x14ac:dyDescent="0.2"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2:26" ht="15.75" customHeight="1" x14ac:dyDescent="0.2"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2:26" ht="15.75" customHeight="1" x14ac:dyDescent="0.2"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2:26" ht="15.75" customHeight="1" x14ac:dyDescent="0.2"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2:26" ht="15.75" customHeight="1" x14ac:dyDescent="0.2"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2:26" ht="15.75" customHeight="1" x14ac:dyDescent="0.2"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2:26" ht="15.75" customHeight="1" x14ac:dyDescent="0.2"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2:26" ht="15.75" customHeight="1" x14ac:dyDescent="0.2"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2:26" ht="15.75" customHeight="1" x14ac:dyDescent="0.2"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2:26" ht="15.75" customHeight="1" x14ac:dyDescent="0.2"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2:26" ht="15.75" customHeight="1" x14ac:dyDescent="0.2"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2:26" ht="15.75" customHeight="1" x14ac:dyDescent="0.2"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2:26" ht="15.75" customHeight="1" x14ac:dyDescent="0.2"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2:26" ht="15.75" customHeight="1" x14ac:dyDescent="0.2"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2:26" ht="15.75" customHeight="1" x14ac:dyDescent="0.2"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2:26" ht="15.75" customHeight="1" x14ac:dyDescent="0.2"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2:26" ht="15.75" customHeight="1" x14ac:dyDescent="0.2"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2:26" ht="15.75" customHeight="1" x14ac:dyDescent="0.2"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2:26" ht="15.75" customHeight="1" x14ac:dyDescent="0.2"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2:26" ht="15.75" customHeight="1" x14ac:dyDescent="0.2"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2:26" ht="15.75" customHeight="1" x14ac:dyDescent="0.2"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2:26" ht="15.75" customHeight="1" x14ac:dyDescent="0.2"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2:26" ht="15.75" customHeight="1" x14ac:dyDescent="0.2"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2:26" ht="15.75" customHeight="1" x14ac:dyDescent="0.2"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2:26" ht="15.75" customHeight="1" x14ac:dyDescent="0.2"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2:26" ht="15.75" customHeight="1" x14ac:dyDescent="0.2"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2:26" ht="15.75" customHeight="1" x14ac:dyDescent="0.2"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2:26" ht="15.75" customHeight="1" x14ac:dyDescent="0.2"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2:26" ht="15.75" customHeight="1" x14ac:dyDescent="0.2"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2:26" ht="15.75" customHeight="1" x14ac:dyDescent="0.2"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2:26" ht="15.75" customHeight="1" x14ac:dyDescent="0.2"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2:26" ht="15.75" customHeight="1" x14ac:dyDescent="0.2"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2:26" ht="15.75" customHeight="1" x14ac:dyDescent="0.2"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2:26" ht="15.75" customHeight="1" x14ac:dyDescent="0.2"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2:26" ht="15.75" customHeight="1" x14ac:dyDescent="0.2"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2:26" ht="15.75" customHeight="1" x14ac:dyDescent="0.2"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2:26" ht="15.75" customHeight="1" x14ac:dyDescent="0.2"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2:26" ht="15.75" customHeight="1" x14ac:dyDescent="0.2"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2:26" ht="15.75" customHeight="1" x14ac:dyDescent="0.2"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2:26" ht="15.75" customHeight="1" x14ac:dyDescent="0.2"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2:26" ht="15.75" customHeight="1" x14ac:dyDescent="0.2"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2:26" ht="15.75" customHeight="1" x14ac:dyDescent="0.2"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2:26" ht="15.75" customHeight="1" x14ac:dyDescent="0.2"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2:26" ht="15.75" customHeight="1" x14ac:dyDescent="0.2"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2:26" ht="15.75" customHeight="1" x14ac:dyDescent="0.2"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2:26" ht="15.75" customHeight="1" x14ac:dyDescent="0.2"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2:26" ht="15.75" customHeight="1" x14ac:dyDescent="0.2"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2:26" ht="15.75" customHeight="1" x14ac:dyDescent="0.2"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2:26" ht="15.75" customHeight="1" x14ac:dyDescent="0.2"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2:26" ht="15.75" customHeight="1" x14ac:dyDescent="0.2"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2:26" ht="15.75" customHeight="1" x14ac:dyDescent="0.2"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2:26" ht="15.75" customHeight="1" x14ac:dyDescent="0.2"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2:26" ht="15.75" customHeight="1" x14ac:dyDescent="0.2"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2:26" ht="15.75" customHeight="1" x14ac:dyDescent="0.2"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2:26" ht="15.75" customHeight="1" x14ac:dyDescent="0.2"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2:26" ht="15.75" customHeight="1" x14ac:dyDescent="0.2"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2:26" ht="15.75" customHeight="1" x14ac:dyDescent="0.2"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2:26" ht="15.75" customHeight="1" x14ac:dyDescent="0.2"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2:26" ht="15.75" customHeight="1" x14ac:dyDescent="0.2"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2:26" ht="15.75" customHeight="1" x14ac:dyDescent="0.2"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2:26" ht="15.75" customHeight="1" x14ac:dyDescent="0.2"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2:26" ht="15.75" customHeight="1" x14ac:dyDescent="0.2"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2:26" ht="15.75" customHeight="1" x14ac:dyDescent="0.2"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2:26" ht="15.75" customHeight="1" x14ac:dyDescent="0.2"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2:26" ht="15.75" customHeight="1" x14ac:dyDescent="0.2"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2:26" ht="15.75" customHeight="1" x14ac:dyDescent="0.2"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2:26" ht="15.75" customHeight="1" x14ac:dyDescent="0.2"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2:26" ht="15.75" customHeight="1" x14ac:dyDescent="0.2"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2:26" ht="15.75" customHeight="1" x14ac:dyDescent="0.2"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2:26" ht="15.75" customHeight="1" x14ac:dyDescent="0.2"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2:26" ht="15.75" customHeight="1" x14ac:dyDescent="0.2"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2:26" ht="15.75" customHeight="1" x14ac:dyDescent="0.2"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2:26" ht="15.75" customHeight="1" x14ac:dyDescent="0.2"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2:26" ht="15.75" customHeight="1" x14ac:dyDescent="0.2"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2:26" ht="15.75" customHeight="1" x14ac:dyDescent="0.2"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2:26" ht="15.75" customHeight="1" x14ac:dyDescent="0.2"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2:26" ht="15.75" customHeight="1" x14ac:dyDescent="0.2"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2:26" ht="15.75" customHeight="1" x14ac:dyDescent="0.2"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2:26" ht="15.75" customHeight="1" x14ac:dyDescent="0.2"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2:26" ht="15.75" customHeight="1" x14ac:dyDescent="0.2"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2:26" ht="15.75" customHeight="1" x14ac:dyDescent="0.2"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2:26" ht="15.75" customHeight="1" x14ac:dyDescent="0.2"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2:26" ht="15.75" customHeight="1" x14ac:dyDescent="0.2"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2:26" ht="15.75" customHeight="1" x14ac:dyDescent="0.2"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2:26" ht="15.75" customHeight="1" x14ac:dyDescent="0.2"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2:26" ht="15.75" customHeight="1" x14ac:dyDescent="0.2"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2:26" ht="15.75" customHeight="1" x14ac:dyDescent="0.2"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2:26" ht="15.75" customHeight="1" x14ac:dyDescent="0.2"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2:26" ht="15.75" customHeight="1" x14ac:dyDescent="0.2"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2:26" ht="15.75" customHeight="1" x14ac:dyDescent="0.2"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2:26" ht="15.75" customHeight="1" x14ac:dyDescent="0.2"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2:26" ht="15.75" customHeight="1" x14ac:dyDescent="0.2"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2:26" ht="15.75" customHeight="1" x14ac:dyDescent="0.2"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2:26" ht="15.75" customHeight="1" x14ac:dyDescent="0.2"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2:26" ht="15.75" customHeight="1" x14ac:dyDescent="0.2"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2:26" ht="15.75" customHeight="1" x14ac:dyDescent="0.2"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2:26" ht="15.75" customHeight="1" x14ac:dyDescent="0.2"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2:26" ht="15.75" customHeight="1" x14ac:dyDescent="0.2"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2:26" ht="15.75" customHeight="1" x14ac:dyDescent="0.2"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2:26" ht="15.75" customHeight="1" x14ac:dyDescent="0.2"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2:26" ht="15.75" customHeight="1" x14ac:dyDescent="0.2"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2:26" ht="15.75" customHeight="1" x14ac:dyDescent="0.2"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2:26" ht="15.75" customHeight="1" x14ac:dyDescent="0.2"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2:26" ht="15.75" customHeight="1" x14ac:dyDescent="0.2"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2:26" ht="15.75" customHeight="1" x14ac:dyDescent="0.2"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2:26" ht="15.75" customHeight="1" x14ac:dyDescent="0.2"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2:26" ht="15.75" customHeight="1" x14ac:dyDescent="0.2"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2:26" ht="15.75" customHeight="1" x14ac:dyDescent="0.2"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2:26" ht="15.75" customHeight="1" x14ac:dyDescent="0.2"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2:26" ht="15.75" customHeight="1" x14ac:dyDescent="0.2"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2:26" ht="15.75" customHeight="1" x14ac:dyDescent="0.2"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2:26" ht="15.75" customHeight="1" x14ac:dyDescent="0.2"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2:26" ht="15.75" customHeight="1" x14ac:dyDescent="0.2"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2:26" ht="15.75" customHeight="1" x14ac:dyDescent="0.2"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2:26" ht="15.75" customHeight="1" x14ac:dyDescent="0.2"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2:26" ht="15.75" customHeight="1" x14ac:dyDescent="0.2"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2:26" ht="15.75" customHeight="1" x14ac:dyDescent="0.2"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2:26" ht="15.75" customHeight="1" x14ac:dyDescent="0.2"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2:26" ht="15.75" customHeight="1" x14ac:dyDescent="0.2"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2:26" ht="15.75" customHeight="1" x14ac:dyDescent="0.2"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2:26" ht="15.75" customHeight="1" x14ac:dyDescent="0.2"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2:26" ht="15.75" customHeight="1" x14ac:dyDescent="0.2"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2:26" ht="15.75" customHeight="1" x14ac:dyDescent="0.2"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2:26" ht="15.75" customHeight="1" x14ac:dyDescent="0.2"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2:26" ht="15.75" customHeight="1" x14ac:dyDescent="0.2"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2:26" ht="15.75" customHeight="1" x14ac:dyDescent="0.2"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2:26" ht="15.75" customHeight="1" x14ac:dyDescent="0.2"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2:26" ht="15.75" customHeight="1" x14ac:dyDescent="0.2"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2:26" ht="15.75" customHeight="1" x14ac:dyDescent="0.2"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2:26" ht="15.75" customHeight="1" x14ac:dyDescent="0.2"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2:26" ht="15.75" customHeight="1" x14ac:dyDescent="0.2"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2:26" ht="15.75" customHeight="1" x14ac:dyDescent="0.2"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2:26" ht="15.75" customHeight="1" x14ac:dyDescent="0.2"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2:26" ht="15.75" customHeight="1" x14ac:dyDescent="0.2"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2:26" ht="15.75" customHeight="1" x14ac:dyDescent="0.2"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2:26" ht="15.75" customHeight="1" x14ac:dyDescent="0.2"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2:26" ht="15.75" customHeight="1" x14ac:dyDescent="0.2"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2:26" ht="15.75" customHeight="1" x14ac:dyDescent="0.2"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2:26" ht="15.75" customHeight="1" x14ac:dyDescent="0.2"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2:26" ht="15.75" customHeight="1" x14ac:dyDescent="0.2"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2:26" ht="15.75" customHeight="1" x14ac:dyDescent="0.2"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2:26" ht="15.75" customHeight="1" x14ac:dyDescent="0.2"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2:26" ht="15.75" customHeight="1" x14ac:dyDescent="0.2"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2:26" ht="15.75" customHeight="1" x14ac:dyDescent="0.2"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2:26" ht="15.75" customHeight="1" x14ac:dyDescent="0.2"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2:26" ht="15.75" customHeight="1" x14ac:dyDescent="0.2"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2:26" ht="15.75" customHeight="1" x14ac:dyDescent="0.2"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2:26" ht="15.75" customHeight="1" x14ac:dyDescent="0.2"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2:26" ht="15.75" customHeight="1" x14ac:dyDescent="0.2"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2:26" ht="15.75" customHeight="1" x14ac:dyDescent="0.2"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2:26" ht="15.75" customHeight="1" x14ac:dyDescent="0.2"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2:26" ht="15.75" customHeight="1" x14ac:dyDescent="0.2"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2:26" ht="15.75" customHeight="1" x14ac:dyDescent="0.2"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2:26" ht="15.75" customHeight="1" x14ac:dyDescent="0.2"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2:26" ht="15.75" customHeight="1" x14ac:dyDescent="0.2"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2:26" ht="15.75" customHeight="1" x14ac:dyDescent="0.2"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2:26" ht="15.75" customHeight="1" x14ac:dyDescent="0.2"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2:26" ht="15.75" customHeight="1" x14ac:dyDescent="0.2"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2:26" ht="15.75" customHeight="1" x14ac:dyDescent="0.2"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2:26" ht="15.75" customHeight="1" x14ac:dyDescent="0.2"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2:26" ht="15.75" customHeight="1" x14ac:dyDescent="0.2"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2:26" ht="15.75" customHeight="1" x14ac:dyDescent="0.2"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2:26" ht="15.75" customHeight="1" x14ac:dyDescent="0.2"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2:26" ht="15.75" customHeight="1" x14ac:dyDescent="0.2"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2:26" ht="15.75" customHeight="1" x14ac:dyDescent="0.2"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2:26" ht="15.75" customHeight="1" x14ac:dyDescent="0.2"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2:26" ht="15.75" customHeight="1" x14ac:dyDescent="0.2"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2:26" ht="15.75" customHeight="1" x14ac:dyDescent="0.2"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2:26" ht="15.75" customHeight="1" x14ac:dyDescent="0.2"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2:26" ht="15.75" customHeight="1" x14ac:dyDescent="0.2"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2:26" ht="15.75" customHeight="1" x14ac:dyDescent="0.2"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2:26" ht="15.75" customHeight="1" x14ac:dyDescent="0.2"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2:26" ht="15.75" customHeight="1" x14ac:dyDescent="0.2"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2:26" ht="15.75" customHeight="1" x14ac:dyDescent="0.2"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2:26" ht="15.75" customHeight="1" x14ac:dyDescent="0.2"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2:26" ht="15.75" customHeight="1" x14ac:dyDescent="0.2"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2:26" ht="15.75" customHeight="1" x14ac:dyDescent="0.2"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2:26" ht="15.75" customHeight="1" x14ac:dyDescent="0.2"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spans="12:26" ht="15.75" customHeight="1" x14ac:dyDescent="0.2"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  <row r="1002" spans="12:26" ht="15.75" customHeight="1" x14ac:dyDescent="0.2"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</row>
    <row r="1003" spans="12:26" ht="15.75" customHeight="1" x14ac:dyDescent="0.2"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</row>
    <row r="1004" spans="12:26" ht="15.75" customHeight="1" x14ac:dyDescent="0.2"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</row>
    <row r="1005" spans="12:26" ht="15.75" customHeight="1" x14ac:dyDescent="0.2"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</row>
    <row r="1006" spans="12:26" ht="15" customHeight="1" x14ac:dyDescent="0.2"/>
    <row r="1007" spans="12:26" ht="15" customHeight="1" x14ac:dyDescent="0.2"/>
    <row r="1008" spans="12:26" ht="15" customHeight="1" x14ac:dyDescent="0.2"/>
    <row r="1009" ht="15" customHeight="1" x14ac:dyDescent="0.2"/>
    <row r="1010" ht="15" customHeight="1" x14ac:dyDescent="0.2"/>
    <row r="1011" ht="15" customHeight="1" x14ac:dyDescent="0.2"/>
  </sheetData>
  <mergeCells count="16">
    <mergeCell ref="A90:K90"/>
    <mergeCell ref="A68:K68"/>
    <mergeCell ref="A66:K66"/>
    <mergeCell ref="A61:K61"/>
    <mergeCell ref="A4:K4"/>
    <mergeCell ref="A54:K54"/>
    <mergeCell ref="A64:K64"/>
    <mergeCell ref="A82:K82"/>
    <mergeCell ref="A65:K65"/>
    <mergeCell ref="A43:K43"/>
    <mergeCell ref="A1:K1"/>
    <mergeCell ref="A23:K23"/>
    <mergeCell ref="A2:K2"/>
    <mergeCell ref="A33:K33"/>
    <mergeCell ref="A63:K63"/>
    <mergeCell ref="A14:K14"/>
  </mergeCells>
  <pageMargins left="0.75" right="0.75" top="1" bottom="1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Bloque A (20jul-2ago)</vt:lpstr>
      <vt:lpstr>Bloque B (3-16ago)</vt:lpstr>
      <vt:lpstr>Volumen (1910-1112)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0</cp:revision>
  <dcterms:created xsi:type="dcterms:W3CDTF">2026-10-17T17:17:56Z</dcterms:created>
  <dcterms:modified xsi:type="dcterms:W3CDTF">2026-10-24T12:46:24Z</dcterms:modified>
  <dc:language>en-US</dc:language>
</cp:coreProperties>
</file>