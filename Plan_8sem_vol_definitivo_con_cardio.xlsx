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3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Bloque A (20jul-2ago)" sheetId="2" state="visible" r:id="rId2"/>
    <sheet xmlns:r="http://schemas.openxmlformats.org/officeDocument/2006/relationships" name="Bloque B (3-16ago)" sheetId="3" state="visible" r:id="rId3"/>
    <sheet xmlns:r="http://schemas.openxmlformats.org/officeDocument/2006/relationships" name="Volumen (1910-1112)" sheetId="4" state="visible" r:id="rId4"/>
    <sheet xmlns:r="http://schemas.openxmlformats.org/officeDocument/2006/relationships" name="Seguimiento rodilla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 h:mm:ss"/>
  </numFmts>
  <fonts count="18">
    <font>
      <name val="Calibri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3"/>
    </font>
    <font>
      <name val="Arial"/>
      <charset val="1"/>
      <family val="0"/>
      <i val="1"/>
      <color rgb="FF555555"/>
      <sz val="9"/>
    </font>
    <font>
      <name val="Arial"/>
      <charset val="1"/>
      <family val="0"/>
      <b val="1"/>
      <color theme="1"/>
      <sz val="10"/>
    </font>
    <font>
      <name val="Arial"/>
      <charset val="1"/>
      <family val="0"/>
      <color theme="1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333333"/>
      <sz val="9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sz val="9"/>
    </font>
    <font>
      <name val="Arial"/>
      <charset val="1"/>
      <family val="0"/>
      <b val="1"/>
      <sz val="9"/>
    </font>
    <font>
      <name val="Arial"/>
      <charset val="1"/>
      <family val="0"/>
      <i val="1"/>
      <sz val="10"/>
    </font>
    <font>
      <name val="Arial"/>
      <charset val="1"/>
      <family val="0"/>
      <b val="1"/>
      <color rgb="FF222222"/>
      <sz val="10"/>
    </font>
    <font>
      <name val="Arial"/>
      <charset val="1"/>
      <family val="0"/>
      <color rgb="FF222222"/>
      <sz val="10"/>
    </font>
    <font>
      <name val="Arial"/>
      <charset val="1"/>
      <family val="0"/>
      <color rgb="FF222222"/>
      <sz val="9"/>
    </font>
  </fonts>
  <fills count="10">
    <fill>
      <patternFill/>
    </fill>
    <fill>
      <patternFill patternType="gray125"/>
    </fill>
    <fill>
      <patternFill patternType="solid">
        <fgColor rgb="FF1F3A4D"/>
        <bgColor rgb="FF333333"/>
      </patternFill>
    </fill>
    <fill>
      <patternFill patternType="solid">
        <fgColor rgb="FFE7ECEF"/>
        <bgColor rgb="FFDDF0DD"/>
      </patternFill>
    </fill>
    <fill>
      <patternFill patternType="solid">
        <fgColor rgb="FF2E6E8E"/>
        <bgColor rgb="FF008080"/>
      </patternFill>
    </fill>
    <fill>
      <patternFill patternType="solid">
        <fgColor rgb="FFDDF0DD"/>
        <bgColor rgb="FFE7ECEF"/>
      </patternFill>
    </fill>
    <fill>
      <patternFill patternType="solid">
        <fgColor rgb="FFFFF3E0"/>
        <bgColor rgb="FFFFFDE7"/>
      </patternFill>
    </fill>
    <fill>
      <patternFill patternType="solid">
        <fgColor rgb="FFFFFDE7"/>
        <bgColor rgb="FFFAFBFC"/>
      </patternFill>
    </fill>
    <fill>
      <patternFill patternType="solid">
        <fgColor rgb="FFF3F6F8"/>
        <bgColor rgb="FFFAFBFC"/>
      </patternFill>
    </fill>
    <fill>
      <patternFill patternType="solid">
        <fgColor rgb="FFFAFBFC"/>
        <bgColor rgb="FFFFFFFF"/>
      </patternFill>
    </fill>
  </fills>
  <borders count="6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/>
      <diagonal/>
    </border>
    <border>
      <left/>
      <right style="thin">
        <color rgb="FFBBBBBB"/>
      </right>
      <top style="thin">
        <color rgb="FFBBBBBB"/>
      </top>
      <bottom/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6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general" vertical="bottom" wrapText="1"/>
    </xf>
    <xf numFmtId="0" fontId="7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/>
    </xf>
    <xf numFmtId="0" fontId="10" fillId="3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12" fillId="5" borderId="1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164" fontId="16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left" vertical="center" wrapText="1"/>
    </xf>
    <xf numFmtId="0" fontId="16" fillId="7" borderId="1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center" vertical="center" wrapText="1"/>
    </xf>
    <xf numFmtId="0" fontId="15" fillId="8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left" vertical="center" wrapText="1"/>
    </xf>
    <xf numFmtId="164" fontId="16" fillId="9" borderId="1" applyAlignment="1" pivotButton="0" quotePrefix="0" xfId="0">
      <alignment horizontal="center" vertical="center" wrapText="1"/>
    </xf>
    <xf numFmtId="0" fontId="15" fillId="9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left" vertical="center" wrapText="1"/>
    </xf>
    <xf numFmtId="0" fontId="17" fillId="9" borderId="1" applyAlignment="1" pivotButton="0" quotePrefix="0" xfId="0">
      <alignment horizontal="center" vertical="center" wrapText="1"/>
    </xf>
    <xf numFmtId="0" fontId="17" fillId="9" borderId="1" applyAlignment="1" pivotButton="0" quotePrefix="0" xfId="0">
      <alignment horizontal="left" vertical="center" wrapText="1"/>
    </xf>
    <xf numFmtId="0" fontId="16" fillId="8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left" vertical="center" wrapText="1"/>
    </xf>
    <xf numFmtId="0" fontId="15" fillId="8" borderId="1" applyAlignment="1" pivotButton="0" quotePrefix="0" xfId="0">
      <alignment horizontal="left" vertical="center" wrapText="1"/>
    </xf>
    <xf numFmtId="9" fontId="16" fillId="8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general" vertical="bottom" wrapText="1"/>
    </xf>
    <xf numFmtId="0" fontId="7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/>
    </xf>
    <xf numFmtId="0" fontId="10" fillId="3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12" fillId="5" borderId="1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164" fontId="16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left" vertical="center" wrapText="1"/>
    </xf>
    <xf numFmtId="0" fontId="16" fillId="7" borderId="1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center" vertical="center" wrapText="1"/>
    </xf>
    <xf numFmtId="0" fontId="15" fillId="8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left" vertical="center" wrapText="1"/>
    </xf>
    <xf numFmtId="164" fontId="16" fillId="9" borderId="1" applyAlignment="1" pivotButton="0" quotePrefix="0" xfId="0">
      <alignment horizontal="center" vertical="center" wrapText="1"/>
    </xf>
    <xf numFmtId="0" fontId="15" fillId="9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left" vertical="center" wrapText="1"/>
    </xf>
    <xf numFmtId="0" fontId="17" fillId="9" borderId="1" applyAlignment="1" pivotButton="0" quotePrefix="0" xfId="0">
      <alignment horizontal="center" vertical="center" wrapText="1"/>
    </xf>
    <xf numFmtId="0" fontId="17" fillId="9" borderId="1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left" vertical="center" wrapText="1"/>
    </xf>
    <xf numFmtId="164" fontId="16" fillId="7" borderId="1" applyAlignment="1" pivotButton="0" quotePrefix="0" xfId="0">
      <alignment horizontal="center" vertical="center" wrapText="1"/>
    </xf>
    <xf numFmtId="164" fontId="16" fillId="8" borderId="1" applyAlignment="1" pivotButton="0" quotePrefix="0" xfId="0">
      <alignment horizontal="center" vertical="center" wrapText="1"/>
    </xf>
    <xf numFmtId="0" fontId="15" fillId="8" borderId="1" applyAlignment="1" pivotButton="0" quotePrefix="0" xfId="0">
      <alignment horizontal="left" vertical="center" wrapText="1"/>
    </xf>
    <xf numFmtId="9" fontId="16" fillId="8" borderId="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5"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0B2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2E6E8E"/>
      <rgbColor rgb="FFBBBBBB"/>
      <rgbColor rgb="FF808080"/>
      <rgbColor rgb="FF9999FF"/>
      <rgbColor rgb="FF993366"/>
      <rgbColor rgb="FFFFFDE7"/>
      <rgbColor rgb="FFDDF0DD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CEF"/>
      <rgbColor rgb="FFC6EFCE"/>
      <rgbColor rgb="FFFFF3E0"/>
      <rgbColor rgb="FFF3F6F8"/>
      <rgbColor rgb="FFFAFBFC"/>
      <rgbColor rgb="FFCC99FF"/>
      <rgbColor rgb="FFFFE0B2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4D"/>
      <rgbColor rgb="FF339966"/>
      <rgbColor rgb="FF003300"/>
      <rgbColor rgb="FF222222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390625" defaultRowHeight="15" zeroHeight="0" outlineLevelRow="0"/>
  <cols>
    <col width="25.97" customWidth="1" style="51" min="1" max="1"/>
    <col width="16.01" customWidth="1" style="51" min="2" max="3"/>
    <col width="20.05" customWidth="1" style="51" min="4" max="4"/>
    <col width="34.03" customWidth="1" style="51" min="5" max="5"/>
    <col width="8.74" customWidth="1" style="51" min="6" max="6"/>
  </cols>
  <sheetData>
    <row r="1" ht="25.5" customHeight="1" s="52">
      <c r="A1" s="53" t="inlineStr">
        <is>
          <t>PLAN 4 SEMANAS · 20 jul – 16 ago 2026</t>
        </is>
      </c>
    </row>
    <row r="2" ht="15" customHeight="1" s="52">
      <c r="A2" s="54" t="inlineStr">
        <is>
          <t>Torso ya cebado (2 sem al fallo) → arranca en MAV1. Pierna 2 sem solo isométricos → reentra en MEV. Rehab FIJA.</t>
        </is>
      </c>
    </row>
    <row r="3" ht="15" customHeight="1" s="52"/>
    <row r="4" ht="15" customHeight="1" s="52">
      <c r="A4" s="55" t="inlineStr">
        <is>
          <t>CÓMO ESTÁ PENSADO</t>
        </is>
      </c>
      <c r="B4" s="56" t="n"/>
      <c r="C4" s="56" t="n"/>
      <c r="D4" s="56" t="n"/>
      <c r="E4" s="57" t="n"/>
    </row>
    <row r="5" ht="48" customHeight="1" s="52">
      <c r="A5" s="58" t="inlineStr">
        <is>
          <t>Punto de partida</t>
        </is>
      </c>
      <c r="B5" s="59" t="inlineStr">
        <is>
          <t>2 sem a volumen bajo + fallo/parciales/clusters en todo el torso (pecho, espalda, tríceps, lateral, posterior, bíceps). No estás desentrenado: estás cebado, con algo de fatiga acumulada. Pierna en cambio solo isométricos.</t>
        </is>
      </c>
      <c r="C5" s="56" t="n"/>
      <c r="D5" s="56" t="n"/>
      <c r="E5" s="57" t="n"/>
    </row>
    <row r="6" ht="48" customHeight="1" s="52">
      <c r="A6" s="58" t="inlineStr">
        <is>
          <t>Bloque A (20 jul–2 ago)</t>
        </is>
      </c>
      <c r="B6" s="59" t="inlineStr">
        <is>
          <t>5–6 días. TORSO: Sem 1 = MAV1 a 2 RIR (nos saltamos el MEV de reentrada), Sem 2 = MAV2 a 1 RIR. PIERNA: Sem 1 = MEV, Sem 2 = MAV1. Techo en MAV2: nada de MRV antes de la fiesta.</t>
        </is>
      </c>
      <c r="C6" s="56" t="n"/>
      <c r="D6" s="56" t="n"/>
      <c r="E6" s="57" t="n"/>
    </row>
    <row r="7" ht="48" customHeight="1" s="52">
      <c r="A7" s="58" t="inlineStr">
        <is>
          <t>Por qué 2 RIR en Sem 1</t>
        </is>
      </c>
      <c r="B7" s="59" t="inlineStr">
        <is>
          <t>Vienes de 2 sem enteras al fallo → subir volumen a MAV1 y seguir al fallo a la vez es picar volumen e intensidad juntos. Volumen arriba, intensidad un punto abajo; en Sem 2 ya aprietas a 1 RIR.</t>
        </is>
      </c>
      <c r="C7" s="56" t="n"/>
      <c r="D7" s="56" t="n"/>
      <c r="E7" s="57" t="n"/>
    </row>
    <row r="8" ht="48" customHeight="1" s="52">
      <c r="A8" s="58" t="inlineStr">
        <is>
          <t>Bloque B (3–16 ago)</t>
        </is>
      </c>
      <c r="B8" s="59" t="inlineStr">
        <is>
          <t>Beber fuerte + ~6 h sueño = sin recuperación real. MANTENIMIENTO: ~mitad de volumen, 3 días cortos, 2–3 RIR, sin fallo, sin progresar. Objetivo: no perder.</t>
        </is>
      </c>
      <c r="C8" s="56" t="n"/>
      <c r="D8" s="56" t="n"/>
      <c r="E8" s="57" t="n"/>
    </row>
    <row r="9" ht="48" customHeight="1" s="52">
      <c r="A9" s="58" t="inlineStr">
        <is>
          <t>Rodilla (rehab)</t>
        </is>
      </c>
      <c r="B9" s="59" t="inlineStr">
        <is>
          <t>FIJA las 4 semanas. El tendón quiere carga frecuente; descansar es contraproducente en tendinopatía. En fiesta: mantener rehab + isométricos, vigilar semáforo ≤3/10 y regla 24 h (alcohol/deshidratación empeoran el tendón).</t>
        </is>
      </c>
      <c r="C9" s="56" t="n"/>
      <c r="D9" s="56" t="n"/>
      <c r="E9" s="57" t="n"/>
    </row>
    <row r="10" ht="15" customHeight="1" s="52"/>
    <row r="11" ht="15" customHeight="1" s="52">
      <c r="A11" s="55" t="inlineStr">
        <is>
          <t>VOLUMEN OBJETIVO (series efectivas / músculo / semana)</t>
        </is>
      </c>
      <c r="B11" s="56" t="n"/>
      <c r="C11" s="56" t="n"/>
      <c r="D11" s="56" t="n"/>
      <c r="E11" s="57" t="n"/>
    </row>
    <row r="12" ht="31.5" customHeight="1" s="52">
      <c r="A12" s="60" t="inlineStr">
        <is>
          <t>Músculo</t>
        </is>
      </c>
      <c r="B12" s="60" t="inlineStr">
        <is>
          <t>Sem 1
(MAV1 torso · 2 RIR)</t>
        </is>
      </c>
      <c r="C12" s="60" t="inlineStr">
        <is>
          <t>Sem 2
(MAV2 torso · 1 RIR)</t>
        </is>
      </c>
      <c r="D12" s="60" t="inlineStr">
        <is>
          <t>Sem 3–4
(mantenim. · 2–3 RIR)</t>
        </is>
      </c>
      <c r="E12" s="60" t="inlineStr">
        <is>
          <t>Nota</t>
        </is>
      </c>
    </row>
    <row r="13" ht="15" customHeight="1" s="52">
      <c r="A13" s="59" t="inlineStr">
        <is>
          <t>Espalda + posterior</t>
        </is>
      </c>
      <c r="B13" s="61" t="inlineStr">
        <is>
          <t>11</t>
        </is>
      </c>
      <c r="C13" s="61" t="inlineStr">
        <is>
          <t>12</t>
        </is>
      </c>
      <c r="D13" s="61" t="inlineStr">
        <is>
          <t>3–4</t>
        </is>
      </c>
      <c r="E13" s="59" t="n"/>
    </row>
    <row r="14" ht="15" customHeight="1" s="52">
      <c r="A14" s="59" t="inlineStr">
        <is>
          <t>Pecho</t>
        </is>
      </c>
      <c r="B14" s="61" t="inlineStr">
        <is>
          <t>7</t>
        </is>
      </c>
      <c r="C14" s="61" t="inlineStr">
        <is>
          <t>8</t>
        </is>
      </c>
      <c r="D14" s="61" t="inlineStr">
        <is>
          <t>3</t>
        </is>
      </c>
      <c r="E14" s="59" t="n"/>
    </row>
    <row r="15" ht="15" customHeight="1" s="52">
      <c r="A15" s="59" t="inlineStr">
        <is>
          <t>Hombro lateral</t>
        </is>
      </c>
      <c r="B15" s="61" t="inlineStr">
        <is>
          <t>7</t>
        </is>
      </c>
      <c r="C15" s="61" t="inlineStr">
        <is>
          <t>8</t>
        </is>
      </c>
      <c r="D15" s="61" t="inlineStr">
        <is>
          <t>3</t>
        </is>
      </c>
      <c r="E15" s="59" t="n"/>
    </row>
    <row r="16" ht="15" customHeight="1" s="52">
      <c r="A16" s="59" t="inlineStr">
        <is>
          <t>Bíceps</t>
        </is>
      </c>
      <c r="B16" s="61" t="inlineStr">
        <is>
          <t>7</t>
        </is>
      </c>
      <c r="C16" s="61" t="inlineStr">
        <is>
          <t>7</t>
        </is>
      </c>
      <c r="D16" s="61" t="inlineStr">
        <is>
          <t>2</t>
        </is>
      </c>
      <c r="E16" s="59" t="n"/>
    </row>
    <row r="17" ht="15" customHeight="1" s="52">
      <c r="A17" s="59" t="inlineStr">
        <is>
          <t>Tríceps</t>
        </is>
      </c>
      <c r="B17" s="61" t="inlineStr">
        <is>
          <t>7</t>
        </is>
      </c>
      <c r="C17" s="61" t="inlineStr">
        <is>
          <t>8</t>
        </is>
      </c>
      <c r="D17" s="61" t="inlineStr">
        <is>
          <t>2</t>
        </is>
      </c>
      <c r="E17" s="59" t="inlineStr">
        <is>
          <t>+ el del press</t>
        </is>
      </c>
    </row>
    <row r="18" ht="15" customHeight="1" s="52">
      <c r="A18" s="59" t="inlineStr">
        <is>
          <t>Abs</t>
        </is>
      </c>
      <c r="B18" s="61" t="inlineStr">
        <is>
          <t>6</t>
        </is>
      </c>
      <c r="C18" s="61" t="inlineStr">
        <is>
          <t>6</t>
        </is>
      </c>
      <c r="D18" s="61" t="inlineStr">
        <is>
          <t>2</t>
        </is>
      </c>
      <c r="E18" s="59" t="n"/>
    </row>
    <row r="19" ht="15" customHeight="1" s="52">
      <c r="A19" s="59" t="inlineStr">
        <is>
          <t>Isquios (accesorio)</t>
        </is>
      </c>
      <c r="B19" s="61" t="inlineStr">
        <is>
          <t>4  (MEV)</t>
        </is>
      </c>
      <c r="C19" s="61" t="inlineStr">
        <is>
          <t>6  (MAV1)</t>
        </is>
      </c>
      <c r="D19" s="61" t="inlineStr">
        <is>
          <t>2</t>
        </is>
      </c>
      <c r="E19" s="59" t="inlineStr">
        <is>
          <t>rehab suma el resto</t>
        </is>
      </c>
    </row>
    <row r="20" ht="15" customHeight="1" s="52">
      <c r="A20" s="59" t="inlineStr">
        <is>
          <t>Aductores</t>
        </is>
      </c>
      <c r="B20" s="61" t="inlineStr">
        <is>
          <t>1</t>
        </is>
      </c>
      <c r="C20" s="61" t="inlineStr">
        <is>
          <t>2</t>
        </is>
      </c>
      <c r="D20" s="61" t="inlineStr">
        <is>
          <t>0–1</t>
        </is>
      </c>
      <c r="E20" s="59" t="n"/>
    </row>
    <row r="21" ht="15.75" customHeight="1" s="52">
      <c r="A21" s="59" t="inlineStr">
        <is>
          <t>Gemelos</t>
        </is>
      </c>
      <c r="B21" s="61" t="inlineStr">
        <is>
          <t>3</t>
        </is>
      </c>
      <c r="C21" s="61" t="inlineStr">
        <is>
          <t>4</t>
        </is>
      </c>
      <c r="D21" s="61" t="inlineStr">
        <is>
          <t>0–1</t>
        </is>
      </c>
      <c r="E21" s="59" t="n"/>
    </row>
    <row r="22" ht="15.75" customHeight="1" s="52">
      <c r="A22" s="62" t="inlineStr">
        <is>
          <t>Rodilla (rehab)</t>
        </is>
      </c>
      <c r="B22" s="63" t="inlineStr">
        <is>
          <t>FIJO</t>
        </is>
      </c>
      <c r="C22" s="63" t="inlineStr">
        <is>
          <t>FIJO</t>
        </is>
      </c>
      <c r="D22" s="63" t="inlineStr">
        <is>
          <t>FIJO</t>
        </is>
      </c>
      <c r="E22" s="62" t="inlineStr">
        <is>
          <t>no se toca</t>
        </is>
      </c>
    </row>
    <row r="23" ht="15.75" customHeight="1" s="52"/>
    <row r="24" ht="15.75" customHeight="1" s="52"/>
    <row r="25" ht="15.75" customHeight="1" s="52"/>
    <row r="26" ht="15.75" customHeight="1" s="52"/>
    <row r="27" ht="15.75" customHeight="1" s="52"/>
    <row r="28" ht="15.75" customHeight="1" s="52"/>
    <row r="29" ht="15.75" customHeight="1" s="52"/>
    <row r="30" ht="15.75" customHeight="1" s="52"/>
    <row r="31" ht="15.75" customHeight="1" s="52"/>
    <row r="32" ht="15.75" customHeight="1" s="52"/>
    <row r="33" ht="15.75" customHeight="1" s="52"/>
    <row r="34" ht="15.75" customHeight="1" s="52"/>
    <row r="35" ht="15.75" customHeight="1" s="52"/>
    <row r="36" ht="15.75" customHeight="1" s="52"/>
    <row r="37" ht="15.75" customHeight="1" s="52"/>
    <row r="38" ht="15.75" customHeight="1" s="52"/>
    <row r="39" ht="15.75" customHeight="1" s="52"/>
    <row r="40" ht="15.75" customHeight="1" s="52"/>
    <row r="41" ht="15.75" customHeight="1" s="52"/>
    <row r="42" ht="15.75" customHeight="1" s="52"/>
    <row r="43" ht="15.75" customHeight="1" s="52"/>
    <row r="44" ht="15.75" customHeight="1" s="52"/>
    <row r="45" ht="15.75" customHeight="1" s="52"/>
    <row r="46" ht="15.75" customHeight="1" s="52"/>
    <row r="47" ht="15.75" customHeight="1" s="52"/>
    <row r="48" ht="15.75" customHeight="1" s="52"/>
    <row r="49" ht="15.75" customHeight="1" s="52"/>
    <row r="50" ht="15.75" customHeight="1" s="52"/>
    <row r="51" ht="15.75" customHeight="1" s="52"/>
    <row r="52" ht="15.75" customHeight="1" s="52"/>
    <row r="53" ht="15.75" customHeight="1" s="52"/>
    <row r="54" ht="15.75" customHeight="1" s="52"/>
    <row r="55" ht="15.75" customHeight="1" s="52"/>
    <row r="56" ht="15.75" customHeight="1" s="52"/>
    <row r="57" ht="15.75" customHeight="1" s="52"/>
    <row r="58" ht="15.75" customHeight="1" s="52"/>
    <row r="59" ht="15.75" customHeight="1" s="52"/>
    <row r="60" ht="15.75" customHeight="1" s="52"/>
    <row r="61" ht="15.75" customHeight="1" s="52"/>
    <row r="62" ht="15.75" customHeight="1" s="52"/>
    <row r="63" ht="15.75" customHeight="1" s="52"/>
    <row r="64" ht="15.75" customHeight="1" s="52"/>
    <row r="65" ht="15.75" customHeight="1" s="52"/>
    <row r="66" ht="15.75" customHeight="1" s="52"/>
    <row r="67" ht="15.75" customHeight="1" s="52"/>
    <row r="68" ht="15.75" customHeight="1" s="52"/>
    <row r="69" ht="15.75" customHeight="1" s="52"/>
    <row r="70" ht="15.75" customHeight="1" s="52"/>
    <row r="71" ht="15.75" customHeight="1" s="52"/>
    <row r="72" ht="15.75" customHeight="1" s="52"/>
    <row r="73" ht="15.75" customHeight="1" s="52"/>
    <row r="74" ht="15.75" customHeight="1" s="52"/>
    <row r="75" ht="15.75" customHeight="1" s="52"/>
    <row r="76" ht="15.75" customHeight="1" s="52"/>
    <row r="77" ht="15.75" customHeight="1" s="52"/>
    <row r="78" ht="15.75" customHeight="1" s="52"/>
    <row r="79" ht="15.75" customHeight="1" s="52"/>
    <row r="80" ht="15.75" customHeight="1" s="52"/>
    <row r="81" ht="15.75" customHeight="1" s="52"/>
    <row r="82" ht="15.75" customHeight="1" s="52"/>
    <row r="83" ht="15.75" customHeight="1" s="52"/>
    <row r="84" ht="15.75" customHeight="1" s="52"/>
    <row r="85" ht="15.75" customHeight="1" s="52"/>
    <row r="86" ht="15.75" customHeight="1" s="52"/>
    <row r="87" ht="15.75" customHeight="1" s="52"/>
    <row r="88" ht="15.75" customHeight="1" s="52"/>
    <row r="89" ht="15.75" customHeight="1" s="52"/>
    <row r="90" ht="15.75" customHeight="1" s="52"/>
    <row r="91" ht="15.75" customHeight="1" s="52"/>
    <row r="92" ht="15.75" customHeight="1" s="52"/>
    <row r="93" ht="15.75" customHeight="1" s="52"/>
    <row r="94" ht="15.75" customHeight="1" s="52"/>
    <row r="95" ht="15.75" customHeight="1" s="52"/>
    <row r="96" ht="15.75" customHeight="1" s="52"/>
    <row r="97" ht="15.75" customHeight="1" s="52"/>
    <row r="98" ht="15.75" customHeight="1" s="52"/>
    <row r="99" ht="15.75" customHeight="1" s="52"/>
    <row r="100" ht="15.75" customHeight="1" s="52"/>
    <row r="101" ht="15.75" customHeight="1" s="52"/>
    <row r="102" ht="15.75" customHeight="1" s="52"/>
    <row r="103" ht="15.75" customHeight="1" s="52"/>
    <row r="104" ht="15.75" customHeight="1" s="52"/>
    <row r="105" ht="15.75" customHeight="1" s="52"/>
    <row r="106" ht="15.75" customHeight="1" s="52"/>
    <row r="107" ht="15.75" customHeight="1" s="52"/>
    <row r="108" ht="15.75" customHeight="1" s="52"/>
    <row r="109" ht="15.75" customHeight="1" s="52"/>
    <row r="110" ht="15.75" customHeight="1" s="52"/>
    <row r="111" ht="15.75" customHeight="1" s="52"/>
    <row r="112" ht="15.75" customHeight="1" s="52"/>
    <row r="113" ht="15.75" customHeight="1" s="52"/>
    <row r="114" ht="15.75" customHeight="1" s="52"/>
    <row r="115" ht="15.75" customHeight="1" s="52"/>
    <row r="116" ht="15.75" customHeight="1" s="52"/>
    <row r="117" ht="15.75" customHeight="1" s="52"/>
    <row r="118" ht="15.75" customHeight="1" s="52"/>
    <row r="119" ht="15.75" customHeight="1" s="52"/>
    <row r="120" ht="15.75" customHeight="1" s="52"/>
    <row r="121" ht="15.75" customHeight="1" s="52"/>
    <row r="122" ht="15.75" customHeight="1" s="52"/>
    <row r="123" ht="15.75" customHeight="1" s="52"/>
    <row r="124" ht="15.75" customHeight="1" s="52"/>
    <row r="125" ht="15.75" customHeight="1" s="52"/>
    <row r="126" ht="15.75" customHeight="1" s="52"/>
    <row r="127" ht="15.75" customHeight="1" s="52"/>
    <row r="128" ht="15.75" customHeight="1" s="52"/>
    <row r="129" ht="15.75" customHeight="1" s="52"/>
    <row r="130" ht="15.75" customHeight="1" s="52"/>
    <row r="131" ht="15.75" customHeight="1" s="52"/>
    <row r="132" ht="15.75" customHeight="1" s="52"/>
    <row r="133" ht="15.75" customHeight="1" s="52"/>
    <row r="134" ht="15.75" customHeight="1" s="52"/>
    <row r="135" ht="15.75" customHeight="1" s="52"/>
    <row r="136" ht="15.75" customHeight="1" s="52"/>
    <row r="137" ht="15.75" customHeight="1" s="52"/>
    <row r="138" ht="15.75" customHeight="1" s="52"/>
    <row r="139" ht="15.75" customHeight="1" s="52"/>
    <row r="140" ht="15.75" customHeight="1" s="52"/>
    <row r="141" ht="15.75" customHeight="1" s="52"/>
    <row r="142" ht="15.75" customHeight="1" s="52"/>
    <row r="143" ht="15.75" customHeight="1" s="52"/>
    <row r="144" ht="15.75" customHeight="1" s="52"/>
    <row r="145" ht="15.75" customHeight="1" s="52"/>
    <row r="146" ht="15.75" customHeight="1" s="52"/>
    <row r="147" ht="15.75" customHeight="1" s="52"/>
    <row r="148" ht="15.75" customHeight="1" s="52"/>
    <row r="149" ht="15.75" customHeight="1" s="52"/>
    <row r="150" ht="15.75" customHeight="1" s="52"/>
    <row r="151" ht="15.75" customHeight="1" s="52"/>
    <row r="152" ht="15.75" customHeight="1" s="52"/>
    <row r="153" ht="15.75" customHeight="1" s="52"/>
    <row r="154" ht="15.75" customHeight="1" s="52"/>
    <row r="155" ht="15.75" customHeight="1" s="52"/>
    <row r="156" ht="15.75" customHeight="1" s="52"/>
    <row r="157" ht="15.75" customHeight="1" s="52"/>
    <row r="158" ht="15.75" customHeight="1" s="52"/>
    <row r="159" ht="15.75" customHeight="1" s="52"/>
    <row r="160" ht="15.75" customHeight="1" s="52"/>
    <row r="161" ht="15.75" customHeight="1" s="52"/>
    <row r="162" ht="15.75" customHeight="1" s="52"/>
    <row r="163" ht="15.75" customHeight="1" s="52"/>
    <row r="164" ht="15.75" customHeight="1" s="52"/>
    <row r="165" ht="15.75" customHeight="1" s="52"/>
    <row r="166" ht="15.75" customHeight="1" s="52"/>
    <row r="167" ht="15.75" customHeight="1" s="52"/>
    <row r="168" ht="15.75" customHeight="1" s="52"/>
    <row r="169" ht="15.75" customHeight="1" s="52"/>
    <row r="170" ht="15.75" customHeight="1" s="52"/>
    <row r="171" ht="15.75" customHeight="1" s="52"/>
    <row r="172" ht="15.75" customHeight="1" s="52"/>
    <row r="173" ht="15.75" customHeight="1" s="52"/>
    <row r="174" ht="15.75" customHeight="1" s="52"/>
    <row r="175" ht="15.75" customHeight="1" s="52"/>
    <row r="176" ht="15.75" customHeight="1" s="52"/>
    <row r="177" ht="15.75" customHeight="1" s="52"/>
    <row r="178" ht="15.75" customHeight="1" s="52"/>
    <row r="179" ht="15.75" customHeight="1" s="52"/>
    <row r="180" ht="15.75" customHeight="1" s="52"/>
    <row r="181" ht="15.75" customHeight="1" s="52"/>
    <row r="182" ht="15.75" customHeight="1" s="52"/>
    <row r="183" ht="15.75" customHeight="1" s="52"/>
    <row r="184" ht="15.75" customHeight="1" s="52"/>
    <row r="185" ht="15.75" customHeight="1" s="52"/>
    <row r="186" ht="15.75" customHeight="1" s="52"/>
    <row r="187" ht="15.75" customHeight="1" s="52"/>
    <row r="188" ht="15.75" customHeight="1" s="52"/>
    <row r="189" ht="15.75" customHeight="1" s="52"/>
    <row r="190" ht="15.75" customHeight="1" s="52"/>
    <row r="191" ht="15.75" customHeight="1" s="52"/>
    <row r="192" ht="15.75" customHeight="1" s="52"/>
    <row r="193" ht="15.75" customHeight="1" s="52"/>
    <row r="194" ht="15.75" customHeight="1" s="52"/>
    <row r="195" ht="15.75" customHeight="1" s="52"/>
    <row r="196" ht="15.75" customHeight="1" s="52"/>
    <row r="197" ht="15.75" customHeight="1" s="52"/>
    <row r="198" ht="15.75" customHeight="1" s="52"/>
    <row r="199" ht="15.75" customHeight="1" s="52"/>
    <row r="200" ht="15.75" customHeight="1" s="52"/>
    <row r="201" ht="15.75" customHeight="1" s="52"/>
    <row r="202" ht="15.75" customHeight="1" s="52"/>
    <row r="203" ht="15.75" customHeight="1" s="52"/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  <row r="1000" ht="15.75" customHeight="1" s="52"/>
  </sheetData>
  <mergeCells count="9">
    <mergeCell ref="B9:E9"/>
    <mergeCell ref="A4:E4"/>
    <mergeCell ref="B8:E8"/>
    <mergeCell ref="A2:E2"/>
    <mergeCell ref="B6:E6"/>
    <mergeCell ref="A11:E11"/>
    <mergeCell ref="B7:E7"/>
    <mergeCell ref="A1:E1"/>
    <mergeCell ref="B5:E5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6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390625" defaultRowHeight="15" zeroHeight="0" outlineLevelRow="0"/>
  <cols>
    <col width="30" customWidth="1" style="51" min="1" max="1"/>
    <col width="16.01" customWidth="1" style="51" min="2" max="4"/>
    <col width="30" customWidth="1" style="51" min="5" max="5"/>
    <col width="8.74" customWidth="1" style="51" min="6" max="6"/>
  </cols>
  <sheetData>
    <row r="1" ht="24" customHeight="1" s="52">
      <c r="A1" s="53" t="inlineStr">
        <is>
          <t>BLOQUE A · 20 jul – 2 ago · ACUMULACIÓN (5–6 días)</t>
        </is>
      </c>
    </row>
    <row r="2" ht="15" customHeight="1" s="52">
      <c r="A2" s="64" t="inlineStr">
        <is>
          <t>Torso arranca en MAV1 (ya cebado). Verde = rehab (FIJO). Sem 1 → 2 RIR · Sem 2 → 1 RIR (última de aislamiento al fallo opcional).</t>
        </is>
      </c>
    </row>
    <row r="3" ht="15" customHeight="1" s="52"/>
    <row r="4" ht="19.5" customHeight="1" s="52">
      <c r="A4" s="65" t="inlineStr">
        <is>
          <t>(L) Lunes  ·  Rehab + Isquios + Hombro</t>
        </is>
      </c>
      <c r="B4" s="56" t="n"/>
      <c r="C4" s="56" t="n"/>
      <c r="D4" s="56" t="n"/>
      <c r="E4" s="57" t="n"/>
    </row>
    <row r="5" ht="23.25" customHeight="1" s="52">
      <c r="A5" s="66" t="inlineStr">
        <is>
          <t>Ejercicio</t>
        </is>
      </c>
      <c r="B5" s="66" t="inlineStr">
        <is>
          <t>Objetivo</t>
        </is>
      </c>
      <c r="C5" s="66" t="inlineStr">
        <is>
          <t>Sem 1 (series@RIR)</t>
        </is>
      </c>
      <c r="D5" s="66" t="inlineStr">
        <is>
          <t>Sem 2 (series@RIR)</t>
        </is>
      </c>
      <c r="E5" s="66" t="inlineStr">
        <is>
          <t>Notas</t>
        </is>
      </c>
    </row>
    <row r="6" ht="15" customHeight="1" s="52">
      <c r="A6" s="59" t="inlineStr">
        <is>
          <t>Laterales de pie</t>
        </is>
      </c>
      <c r="B6" s="59" t="inlineStr">
        <is>
          <t>Hombro lat.</t>
        </is>
      </c>
      <c r="C6" s="61" t="inlineStr">
        <is>
          <t>2 @ RIR2</t>
        </is>
      </c>
      <c r="D6" s="61" t="inlineStr">
        <is>
          <t>2 @ RIR1</t>
        </is>
      </c>
      <c r="E6" s="61" t="n"/>
    </row>
    <row r="7" ht="15" customHeight="1" s="52">
      <c r="A7" s="59" t="inlineStr">
        <is>
          <t>Laterales banco inclinado posterior</t>
        </is>
      </c>
      <c r="B7" s="59" t="inlineStr">
        <is>
          <t>Posterior</t>
        </is>
      </c>
      <c r="C7" s="61" t="inlineStr">
        <is>
          <t>1 @ RIR2</t>
        </is>
      </c>
      <c r="D7" s="61" t="inlineStr">
        <is>
          <t>2 @ RIR1</t>
        </is>
      </c>
      <c r="E7" s="61" t="n"/>
    </row>
    <row r="8" ht="15" customHeight="1" s="52">
      <c r="A8" s="62" t="inlineStr">
        <is>
          <t>Unilateral Abduction</t>
        </is>
      </c>
      <c r="B8" s="62" t="inlineStr">
        <is>
          <t>Rehab</t>
        </is>
      </c>
      <c r="C8" s="63" t="inlineStr">
        <is>
          <t>2 x15–20</t>
        </is>
      </c>
      <c r="D8" s="63" t="inlineStr">
        <is>
          <t>2 x15–20</t>
        </is>
      </c>
      <c r="E8" s="63" t="inlineStr">
        <is>
          <t>fijo</t>
        </is>
      </c>
    </row>
    <row r="9" ht="15" customHeight="1" s="52">
      <c r="A9" s="62" t="inlineStr">
        <is>
          <t>Touchdown squat</t>
        </is>
      </c>
      <c r="B9" s="62" t="inlineStr">
        <is>
          <t>Rehab</t>
        </is>
      </c>
      <c r="C9" s="63" t="inlineStr">
        <is>
          <t>2 x15–20</t>
        </is>
      </c>
      <c r="D9" s="63" t="inlineStr">
        <is>
          <t>2 x15–20</t>
        </is>
      </c>
      <c r="E9" s="63" t="inlineStr">
        <is>
          <t>fijo</t>
        </is>
      </c>
    </row>
    <row r="10" ht="15" customHeight="1" s="52">
      <c r="A10" s="62" t="inlineStr">
        <is>
          <t>Unilateral Bridge iso</t>
        </is>
      </c>
      <c r="B10" s="62" t="inlineStr">
        <is>
          <t>Rehab</t>
        </is>
      </c>
      <c r="C10" s="63" t="inlineStr">
        <is>
          <t>2 (20 s)</t>
        </is>
      </c>
      <c r="D10" s="63" t="inlineStr">
        <is>
          <t>2 (20 s)</t>
        </is>
      </c>
      <c r="E10" s="63" t="inlineStr">
        <is>
          <t>fijo</t>
        </is>
      </c>
    </row>
    <row r="11" ht="15" customHeight="1" s="52">
      <c r="A11" s="62" t="inlineStr">
        <is>
          <t>Zercher squat</t>
        </is>
      </c>
      <c r="B11" s="62" t="inlineStr">
        <is>
          <t>Rehab</t>
        </is>
      </c>
      <c r="C11" s="63" t="inlineStr">
        <is>
          <t>3 x12</t>
        </is>
      </c>
      <c r="D11" s="63" t="inlineStr">
        <is>
          <t>3 x12</t>
        </is>
      </c>
      <c r="E11" s="63" t="inlineStr">
        <is>
          <t>tempo controlado</t>
        </is>
      </c>
    </row>
    <row r="12" ht="15" customHeight="1" s="52">
      <c r="A12" s="62" t="inlineStr">
        <is>
          <t>Bulgarian split squat</t>
        </is>
      </c>
      <c r="B12" s="62" t="inlineStr">
        <is>
          <t>Rehab</t>
        </is>
      </c>
      <c r="C12" s="63" t="inlineStr">
        <is>
          <t>2 x12</t>
        </is>
      </c>
      <c r="D12" s="63" t="inlineStr">
        <is>
          <t>2 x12</t>
        </is>
      </c>
      <c r="E12" s="63" t="inlineStr">
        <is>
          <t>fijo</t>
        </is>
      </c>
    </row>
    <row r="13" ht="23.25" customHeight="1" s="52">
      <c r="A13" s="59" t="inlineStr">
        <is>
          <t>Isquios</t>
        </is>
      </c>
      <c r="B13" s="59" t="inlineStr">
        <is>
          <t>Isquios (MEV→MAV1)</t>
        </is>
      </c>
      <c r="C13" s="61" t="inlineStr">
        <is>
          <t>2 @ RIR2</t>
        </is>
      </c>
      <c r="D13" s="61" t="inlineStr">
        <is>
          <t>3 @ RIR1</t>
        </is>
      </c>
      <c r="E13" s="61" t="n"/>
    </row>
    <row r="14" ht="15" customHeight="1" s="52"/>
    <row r="15" ht="19.5" customHeight="1" s="52">
      <c r="A15" s="65" t="inlineStr">
        <is>
          <t>(M) Martes  ·  Push</t>
        </is>
      </c>
      <c r="B15" s="56" t="n"/>
      <c r="C15" s="56" t="n"/>
      <c r="D15" s="56" t="n"/>
      <c r="E15" s="57" t="n"/>
    </row>
    <row r="16" ht="23.25" customHeight="1" s="52">
      <c r="A16" s="66" t="inlineStr">
        <is>
          <t>Ejercicio</t>
        </is>
      </c>
      <c r="B16" s="66" t="inlineStr">
        <is>
          <t>Objetivo</t>
        </is>
      </c>
      <c r="C16" s="66" t="inlineStr">
        <is>
          <t>Sem 1 (series@RIR)</t>
        </is>
      </c>
      <c r="D16" s="66" t="inlineStr">
        <is>
          <t>Sem 2 (series@RIR)</t>
        </is>
      </c>
      <c r="E16" s="66" t="inlineStr">
        <is>
          <t>Notas</t>
        </is>
      </c>
    </row>
    <row r="17" ht="15" customHeight="1" s="52">
      <c r="A17" s="59" t="inlineStr">
        <is>
          <t>Press inclinado manc</t>
        </is>
      </c>
      <c r="B17" s="59" t="inlineStr">
        <is>
          <t>Pecho</t>
        </is>
      </c>
      <c r="C17" s="61" t="inlineStr">
        <is>
          <t>3 @ RIR2</t>
        </is>
      </c>
      <c r="D17" s="61" t="inlineStr">
        <is>
          <t>4 @ RIR1</t>
        </is>
      </c>
      <c r="E17" s="61" t="n"/>
    </row>
    <row r="18" ht="15" customHeight="1" s="52">
      <c r="A18" s="59" t="inlineStr">
        <is>
          <t>Aperturas pecho manc + gomas</t>
        </is>
      </c>
      <c r="B18" s="59" t="inlineStr">
        <is>
          <t>Pecho</t>
        </is>
      </c>
      <c r="C18" s="61" t="inlineStr">
        <is>
          <t>2 @ RIR2</t>
        </is>
      </c>
      <c r="D18" s="61" t="inlineStr">
        <is>
          <t>2 @ RIR1</t>
        </is>
      </c>
      <c r="E18" s="61" t="n"/>
    </row>
    <row r="19" ht="15" customHeight="1" s="52">
      <c r="A19" s="59" t="inlineStr">
        <is>
          <t>Kaz press manc</t>
        </is>
      </c>
      <c r="B19" s="59" t="inlineStr">
        <is>
          <t>Pecho/hombro</t>
        </is>
      </c>
      <c r="C19" s="61" t="inlineStr">
        <is>
          <t>1 @ RIR2</t>
        </is>
      </c>
      <c r="D19" s="61" t="inlineStr">
        <is>
          <t>1 @ RIR1</t>
        </is>
      </c>
      <c r="E19" s="61" t="n"/>
    </row>
    <row r="20" ht="15" customHeight="1" s="52">
      <c r="A20" s="59" t="inlineStr">
        <is>
          <t>Extensión tríceps unil</t>
        </is>
      </c>
      <c r="B20" s="59" t="inlineStr">
        <is>
          <t>Tríceps</t>
        </is>
      </c>
      <c r="C20" s="61" t="inlineStr">
        <is>
          <t>3 @ RIR2</t>
        </is>
      </c>
      <c r="D20" s="61" t="inlineStr">
        <is>
          <t>3 @ RIR1</t>
        </is>
      </c>
      <c r="E20" s="61" t="n"/>
    </row>
    <row r="21" ht="15.75" customHeight="1" s="52">
      <c r="A21" s="59" t="inlineStr">
        <is>
          <t>Gemelos</t>
        </is>
      </c>
      <c r="B21" s="59" t="inlineStr">
        <is>
          <t>Gemelos</t>
        </is>
      </c>
      <c r="C21" s="61" t="inlineStr">
        <is>
          <t>2 @ RIR2</t>
        </is>
      </c>
      <c r="D21" s="61" t="inlineStr">
        <is>
          <t>2 @ RIR1</t>
        </is>
      </c>
      <c r="E21" s="61" t="n"/>
    </row>
    <row r="22" ht="15.75" customHeight="1" s="52">
      <c r="A22" s="59" t="inlineStr">
        <is>
          <t>Abs</t>
        </is>
      </c>
      <c r="B22" s="59" t="inlineStr">
        <is>
          <t>Abs</t>
        </is>
      </c>
      <c r="C22" s="61" t="inlineStr">
        <is>
          <t>3 @ RIR2</t>
        </is>
      </c>
      <c r="D22" s="61" t="inlineStr">
        <is>
          <t>3 @ RIR1</t>
        </is>
      </c>
      <c r="E22" s="61" t="n"/>
    </row>
    <row r="23" ht="15.75" customHeight="1" s="52"/>
    <row r="24" ht="19.5" customHeight="1" s="52">
      <c r="A24" s="65" t="inlineStr">
        <is>
          <t>(X) Miércoles  ·  Pull</t>
        </is>
      </c>
      <c r="B24" s="56" t="n"/>
      <c r="C24" s="56" t="n"/>
      <c r="D24" s="56" t="n"/>
      <c r="E24" s="57" t="n"/>
    </row>
    <row r="25" ht="15.75" customHeight="1" s="52">
      <c r="A25" s="66" t="inlineStr">
        <is>
          <t>Ejercicio</t>
        </is>
      </c>
      <c r="B25" s="66" t="inlineStr">
        <is>
          <t>Objetivo</t>
        </is>
      </c>
      <c r="C25" s="66" t="inlineStr">
        <is>
          <t>Sem 1 (series@RIR)</t>
        </is>
      </c>
      <c r="D25" s="66" t="inlineStr">
        <is>
          <t>Sem 2 (series@RIR)</t>
        </is>
      </c>
      <c r="E25" s="66" t="inlineStr">
        <is>
          <t>Notas</t>
        </is>
      </c>
    </row>
    <row r="26" ht="15.75" customHeight="1" s="52">
      <c r="A26" s="59" t="inlineStr">
        <is>
          <t>Dominadas neutro</t>
        </is>
      </c>
      <c r="B26" s="59" t="inlineStr">
        <is>
          <t>Espalda</t>
        </is>
      </c>
      <c r="C26" s="61" t="inlineStr">
        <is>
          <t>3 @ RIR2</t>
        </is>
      </c>
      <c r="D26" s="61" t="inlineStr">
        <is>
          <t>4 @ RIR1</t>
        </is>
      </c>
      <c r="E26" s="61" t="n"/>
    </row>
    <row r="27" ht="15.75" customHeight="1" s="52">
      <c r="A27" s="59" t="inlineStr">
        <is>
          <t>Remo apoyado</t>
        </is>
      </c>
      <c r="B27" s="59" t="inlineStr">
        <is>
          <t>Espalda</t>
        </is>
      </c>
      <c r="C27" s="61" t="inlineStr">
        <is>
          <t>3 @ RIR2</t>
        </is>
      </c>
      <c r="D27" s="61" t="inlineStr">
        <is>
          <t>3 @ RIR1</t>
        </is>
      </c>
      <c r="E27" s="61" t="n"/>
    </row>
    <row r="28" ht="15.75" customHeight="1" s="52">
      <c r="A28" s="59" t="inlineStr">
        <is>
          <t>Pullover manc + gomas</t>
        </is>
      </c>
      <c r="B28" s="59" t="inlineStr">
        <is>
          <t>Dorsal</t>
        </is>
      </c>
      <c r="C28" s="61" t="inlineStr">
        <is>
          <t>2 @ RIR2</t>
        </is>
      </c>
      <c r="D28" s="61" t="inlineStr">
        <is>
          <t>2 @ RIR1</t>
        </is>
      </c>
      <c r="E28" s="61" t="n"/>
    </row>
    <row r="29" ht="15.75" customHeight="1" s="52">
      <c r="A29" s="59" t="inlineStr">
        <is>
          <t>Dominadas abducción hombro</t>
        </is>
      </c>
      <c r="B29" s="59" t="inlineStr">
        <is>
          <t>Espalda/post.</t>
        </is>
      </c>
      <c r="C29" s="61" t="inlineStr">
        <is>
          <t>1 @ RIR2</t>
        </is>
      </c>
      <c r="D29" s="61" t="inlineStr">
        <is>
          <t>1 @ RIR1</t>
        </is>
      </c>
      <c r="E29" s="61" t="n"/>
    </row>
    <row r="30" ht="15.75" customHeight="1" s="52">
      <c r="A30" s="59" t="inlineStr">
        <is>
          <t>Laterales sentado inclinado</t>
        </is>
      </c>
      <c r="B30" s="59" t="inlineStr">
        <is>
          <t>Hombro lat.</t>
        </is>
      </c>
      <c r="C30" s="61" t="inlineStr">
        <is>
          <t>2 @ RIR2</t>
        </is>
      </c>
      <c r="D30" s="61" t="inlineStr">
        <is>
          <t>3 @ RIR1</t>
        </is>
      </c>
      <c r="E30" s="61" t="n"/>
    </row>
    <row r="31" ht="15.75" customHeight="1" s="52">
      <c r="A31" s="59" t="inlineStr">
        <is>
          <t>Arnold laterales</t>
        </is>
      </c>
      <c r="B31" s="59" t="inlineStr">
        <is>
          <t>Hombro</t>
        </is>
      </c>
      <c r="C31" s="61" t="inlineStr">
        <is>
          <t>1 @ RIR2</t>
        </is>
      </c>
      <c r="D31" s="61" t="inlineStr">
        <is>
          <t>1 @ RIR1</t>
        </is>
      </c>
      <c r="E31" s="61" t="n"/>
    </row>
    <row r="32" ht="15.75" customHeight="1" s="52">
      <c r="A32" s="59" t="inlineStr">
        <is>
          <t>Curl biceps</t>
        </is>
      </c>
      <c r="B32" s="59" t="inlineStr">
        <is>
          <t>Bíceps</t>
        </is>
      </c>
      <c r="C32" s="61" t="inlineStr">
        <is>
          <t>3 @ RIR2</t>
        </is>
      </c>
      <c r="D32" s="61" t="inlineStr">
        <is>
          <t>3 @ RIR1</t>
        </is>
      </c>
      <c r="E32" s="61" t="n"/>
    </row>
    <row r="33" ht="15.75" customHeight="1" s="52"/>
    <row r="34" ht="19.5" customHeight="1" s="52">
      <c r="A34" s="65" t="inlineStr">
        <is>
          <t>(J) Jueves  ·  Rehab + Isquios + Aductores</t>
        </is>
      </c>
      <c r="B34" s="56" t="n"/>
      <c r="C34" s="56" t="n"/>
      <c r="D34" s="56" t="n"/>
      <c r="E34" s="57" t="n"/>
    </row>
    <row r="35" ht="15.75" customHeight="1" s="52">
      <c r="A35" s="66" t="inlineStr">
        <is>
          <t>Ejercicio</t>
        </is>
      </c>
      <c r="B35" s="66" t="inlineStr">
        <is>
          <t>Objetivo</t>
        </is>
      </c>
      <c r="C35" s="66" t="inlineStr">
        <is>
          <t>Sem 1 (series@RIR)</t>
        </is>
      </c>
      <c r="D35" s="66" t="inlineStr">
        <is>
          <t>Sem 2 (series@RIR)</t>
        </is>
      </c>
      <c r="E35" s="66" t="inlineStr">
        <is>
          <t>Notas</t>
        </is>
      </c>
    </row>
    <row r="36" ht="15.75" customHeight="1" s="52">
      <c r="A36" s="62" t="inlineStr">
        <is>
          <t>Unilateral Abduction</t>
        </is>
      </c>
      <c r="B36" s="62" t="inlineStr">
        <is>
          <t>Rehab</t>
        </is>
      </c>
      <c r="C36" s="63" t="inlineStr">
        <is>
          <t>2 x15–20</t>
        </is>
      </c>
      <c r="D36" s="63" t="inlineStr">
        <is>
          <t>2 x15–20</t>
        </is>
      </c>
      <c r="E36" s="63" t="inlineStr">
        <is>
          <t>fijo</t>
        </is>
      </c>
    </row>
    <row r="37" ht="15.75" customHeight="1" s="52">
      <c r="A37" s="62" t="inlineStr">
        <is>
          <t>Touchdown squat</t>
        </is>
      </c>
      <c r="B37" s="62" t="inlineStr">
        <is>
          <t>Rehab</t>
        </is>
      </c>
      <c r="C37" s="63" t="inlineStr">
        <is>
          <t>2 x15–20</t>
        </is>
      </c>
      <c r="D37" s="63" t="inlineStr">
        <is>
          <t>2 x15–20</t>
        </is>
      </c>
      <c r="E37" s="63" t="inlineStr">
        <is>
          <t>fijo</t>
        </is>
      </c>
    </row>
    <row r="38" ht="15.75" customHeight="1" s="52">
      <c r="A38" s="62" t="inlineStr">
        <is>
          <t>Unilateral Bridge iso</t>
        </is>
      </c>
      <c r="B38" s="62" t="inlineStr">
        <is>
          <t>Rehab</t>
        </is>
      </c>
      <c r="C38" s="63" t="inlineStr">
        <is>
          <t>2 (20 s)</t>
        </is>
      </c>
      <c r="D38" s="63" t="inlineStr">
        <is>
          <t>2 (20 s)</t>
        </is>
      </c>
      <c r="E38" s="63" t="inlineStr">
        <is>
          <t>fijo</t>
        </is>
      </c>
    </row>
    <row r="39" ht="15.75" customHeight="1" s="52">
      <c r="A39" s="62" t="inlineStr">
        <is>
          <t>Zercher squat</t>
        </is>
      </c>
      <c r="B39" s="62" t="inlineStr">
        <is>
          <t>Rehab</t>
        </is>
      </c>
      <c r="C39" s="63" t="inlineStr">
        <is>
          <t>3 x12</t>
        </is>
      </c>
      <c r="D39" s="63" t="inlineStr">
        <is>
          <t>3 x12</t>
        </is>
      </c>
      <c r="E39" s="63" t="inlineStr">
        <is>
          <t>fijo</t>
        </is>
      </c>
    </row>
    <row r="40" ht="15.75" customHeight="1" s="52">
      <c r="A40" s="62" t="inlineStr">
        <is>
          <t>Bulgarian split squat</t>
        </is>
      </c>
      <c r="B40" s="62" t="inlineStr">
        <is>
          <t>Rehab</t>
        </is>
      </c>
      <c r="C40" s="63" t="inlineStr">
        <is>
          <t>2 x12</t>
        </is>
      </c>
      <c r="D40" s="63" t="inlineStr">
        <is>
          <t>2 x12</t>
        </is>
      </c>
      <c r="E40" s="63" t="inlineStr">
        <is>
          <t>fijo</t>
        </is>
      </c>
    </row>
    <row r="41" ht="15.75" customHeight="1" s="52">
      <c r="A41" s="59" t="inlineStr">
        <is>
          <t>Isquios</t>
        </is>
      </c>
      <c r="B41" s="59" t="inlineStr">
        <is>
          <t>Isquios</t>
        </is>
      </c>
      <c r="C41" s="61" t="inlineStr">
        <is>
          <t>2 @ RIR2</t>
        </is>
      </c>
      <c r="D41" s="61" t="inlineStr">
        <is>
          <t>3 @ RIR1</t>
        </is>
      </c>
      <c r="E41" s="61" t="n"/>
    </row>
    <row r="42" ht="15.75" customHeight="1" s="52">
      <c r="A42" s="59" t="inlineStr">
        <is>
          <t>Aductores</t>
        </is>
      </c>
      <c r="B42" s="59" t="inlineStr">
        <is>
          <t>Aductores (MEV→MAV1)</t>
        </is>
      </c>
      <c r="C42" s="61" t="inlineStr">
        <is>
          <t>1 @ RIR2</t>
        </is>
      </c>
      <c r="D42" s="61" t="inlineStr">
        <is>
          <t>2 @ RIR1</t>
        </is>
      </c>
      <c r="E42" s="61" t="n"/>
    </row>
    <row r="43" ht="15.75" customHeight="1" s="52">
      <c r="A43" s="59" t="inlineStr">
        <is>
          <t>Gemelos</t>
        </is>
      </c>
      <c r="B43" s="59" t="inlineStr">
        <is>
          <t>Gemelos</t>
        </is>
      </c>
      <c r="C43" s="61" t="inlineStr">
        <is>
          <t>1 @ RIR2</t>
        </is>
      </c>
      <c r="D43" s="61" t="inlineStr">
        <is>
          <t>2 @ RIR1</t>
        </is>
      </c>
      <c r="E43" s="61" t="n"/>
    </row>
    <row r="44" ht="15.75" customHeight="1" s="52"/>
    <row r="45" ht="19.5" customHeight="1" s="52">
      <c r="A45" s="65" t="inlineStr">
        <is>
          <t>(V) Viernes  ·  Torso (upper completo)</t>
        </is>
      </c>
      <c r="B45" s="56" t="n"/>
      <c r="C45" s="56" t="n"/>
      <c r="D45" s="56" t="n"/>
      <c r="E45" s="57" t="n"/>
    </row>
    <row r="46" ht="15.75" customHeight="1" s="52">
      <c r="A46" s="66" t="inlineStr">
        <is>
          <t>Ejercicio</t>
        </is>
      </c>
      <c r="B46" s="66" t="inlineStr">
        <is>
          <t>Objetivo</t>
        </is>
      </c>
      <c r="C46" s="66" t="inlineStr">
        <is>
          <t>Sem 1 (series@RIR)</t>
        </is>
      </c>
      <c r="D46" s="66" t="inlineStr">
        <is>
          <t>Sem 2 (series@RIR)</t>
        </is>
      </c>
      <c r="E46" s="66" t="inlineStr">
        <is>
          <t>Notas</t>
        </is>
      </c>
    </row>
    <row r="47" ht="15.75" customHeight="1" s="52">
      <c r="A47" s="59" t="inlineStr">
        <is>
          <t>Dominadas neutras dorsal</t>
        </is>
      </c>
      <c r="B47" s="59" t="inlineStr">
        <is>
          <t>Espalda</t>
        </is>
      </c>
      <c r="C47" s="61" t="inlineStr">
        <is>
          <t>2 @ RIR2</t>
        </is>
      </c>
      <c r="D47" s="61" t="inlineStr">
        <is>
          <t>2 @ RIR1</t>
        </is>
      </c>
      <c r="E47" s="61" t="n"/>
    </row>
    <row r="48" ht="15.75" customHeight="1" s="52">
      <c r="A48" s="59" t="inlineStr">
        <is>
          <t>Press incl manc cerrado</t>
        </is>
      </c>
      <c r="B48" s="59" t="inlineStr">
        <is>
          <t>Pecho/tríceps</t>
        </is>
      </c>
      <c r="C48" s="61" t="inlineStr">
        <is>
          <t>2 @ RIR2</t>
        </is>
      </c>
      <c r="D48" s="61" t="inlineStr">
        <is>
          <t>2 @ RIR1</t>
        </is>
      </c>
      <c r="E48" s="61" t="n"/>
    </row>
    <row r="49" ht="15.75" customHeight="1" s="52">
      <c r="A49" s="59" t="inlineStr">
        <is>
          <t>Laterales inclinado estiramiento</t>
        </is>
      </c>
      <c r="B49" s="59" t="inlineStr">
        <is>
          <t>Hombro lat.</t>
        </is>
      </c>
      <c r="C49" s="61" t="inlineStr">
        <is>
          <t>2 @ RIR2</t>
        </is>
      </c>
      <c r="D49" s="61" t="inlineStr">
        <is>
          <t>2 @ RIR1</t>
        </is>
      </c>
      <c r="E49" s="61" t="n"/>
    </row>
    <row r="50" ht="15.75" customHeight="1" s="52">
      <c r="A50" s="59" t="inlineStr">
        <is>
          <t>Triceps tras nuca</t>
        </is>
      </c>
      <c r="B50" s="59" t="inlineStr">
        <is>
          <t>Tríceps</t>
        </is>
      </c>
      <c r="C50" s="61" t="inlineStr">
        <is>
          <t>2 @ RIR2</t>
        </is>
      </c>
      <c r="D50" s="61" t="inlineStr">
        <is>
          <t>3 @ RIR1</t>
        </is>
      </c>
      <c r="E50" s="61" t="n"/>
    </row>
    <row r="51" ht="15.75" customHeight="1" s="52">
      <c r="A51" s="59" t="inlineStr">
        <is>
          <t>Triceps conc</t>
        </is>
      </c>
      <c r="B51" s="59" t="inlineStr">
        <is>
          <t>Tríceps</t>
        </is>
      </c>
      <c r="C51" s="61" t="inlineStr">
        <is>
          <t>1 @ RIR1</t>
        </is>
      </c>
      <c r="D51" s="61" t="inlineStr">
        <is>
          <t>1 @ RIR0</t>
        </is>
      </c>
      <c r="E51" s="61" t="inlineStr">
        <is>
          <t>última al fallo ok</t>
        </is>
      </c>
    </row>
    <row r="52" ht="15.75" customHeight="1" s="52">
      <c r="A52" s="59" t="inlineStr">
        <is>
          <t>Curl biceps incl</t>
        </is>
      </c>
      <c r="B52" s="59" t="inlineStr">
        <is>
          <t>Bíceps</t>
        </is>
      </c>
      <c r="C52" s="61" t="inlineStr">
        <is>
          <t>2 @ RIR2</t>
        </is>
      </c>
      <c r="D52" s="61" t="inlineStr">
        <is>
          <t>2 @ RIR1</t>
        </is>
      </c>
      <c r="E52" s="61" t="n"/>
    </row>
    <row r="53" ht="15.75" customHeight="1" s="52">
      <c r="A53" s="59" t="inlineStr">
        <is>
          <t>Curl martillo scott</t>
        </is>
      </c>
      <c r="B53" s="59" t="inlineStr">
        <is>
          <t>Bíceps/braquial</t>
        </is>
      </c>
      <c r="C53" s="61" t="inlineStr">
        <is>
          <t>2 @ RIR2</t>
        </is>
      </c>
      <c r="D53" s="61" t="inlineStr">
        <is>
          <t>2 @ RIR1</t>
        </is>
      </c>
      <c r="E53" s="61" t="n"/>
    </row>
    <row r="54" ht="15.75" customHeight="1" s="52"/>
    <row r="55" ht="19.5" customHeight="1" s="52">
      <c r="A55" s="65" t="inlineStr">
        <is>
          <t>(S) Sábado  ·  Rehab ligero + movilidad  (hazlo antes de salir el 25/07 y 01/08)</t>
        </is>
      </c>
      <c r="B55" s="56" t="n"/>
      <c r="C55" s="56" t="n"/>
      <c r="D55" s="56" t="n"/>
      <c r="E55" s="57" t="n"/>
    </row>
    <row r="56" ht="15.75" customHeight="1" s="52">
      <c r="A56" s="66" t="inlineStr">
        <is>
          <t>Ejercicio</t>
        </is>
      </c>
      <c r="B56" s="66" t="inlineStr">
        <is>
          <t>Objetivo</t>
        </is>
      </c>
      <c r="C56" s="66" t="inlineStr">
        <is>
          <t>Sem 1 (series@RIR)</t>
        </is>
      </c>
      <c r="D56" s="66" t="inlineStr">
        <is>
          <t>Sem 2 (series@RIR)</t>
        </is>
      </c>
      <c r="E56" s="66" t="inlineStr">
        <is>
          <t>Notas</t>
        </is>
      </c>
    </row>
    <row r="57" ht="15.75" customHeight="1" s="52">
      <c r="A57" s="62" t="inlineStr">
        <is>
          <t>Unilateral Abduction</t>
        </is>
      </c>
      <c r="B57" s="62" t="inlineStr">
        <is>
          <t>Rehab</t>
        </is>
      </c>
      <c r="C57" s="63" t="inlineStr">
        <is>
          <t>2 x15–20</t>
        </is>
      </c>
      <c r="D57" s="63" t="inlineStr">
        <is>
          <t>2 x15–20</t>
        </is>
      </c>
      <c r="E57" s="63" t="inlineStr">
        <is>
          <t>fijo</t>
        </is>
      </c>
    </row>
    <row r="58" ht="15.75" customHeight="1" s="52">
      <c r="A58" s="62" t="inlineStr">
        <is>
          <t>Touchdown squat</t>
        </is>
      </c>
      <c r="B58" s="62" t="inlineStr">
        <is>
          <t>Rehab</t>
        </is>
      </c>
      <c r="C58" s="63" t="inlineStr">
        <is>
          <t>2 x15–20</t>
        </is>
      </c>
      <c r="D58" s="63" t="inlineStr">
        <is>
          <t>2 x15–20</t>
        </is>
      </c>
      <c r="E58" s="63" t="inlineStr">
        <is>
          <t>fijo</t>
        </is>
      </c>
    </row>
    <row r="59" ht="15.75" customHeight="1" s="52">
      <c r="A59" s="62" t="inlineStr">
        <is>
          <t>Bulgarian split squat</t>
        </is>
      </c>
      <c r="B59" s="62" t="inlineStr">
        <is>
          <t>Rehab</t>
        </is>
      </c>
      <c r="C59" s="63" t="inlineStr">
        <is>
          <t>2 x12</t>
        </is>
      </c>
      <c r="D59" s="63" t="inlineStr">
        <is>
          <t>2 x12</t>
        </is>
      </c>
      <c r="E59" s="63" t="inlineStr">
        <is>
          <t>fijo</t>
        </is>
      </c>
    </row>
    <row r="60" ht="15.75" customHeight="1" s="52">
      <c r="A60" s="59" t="inlineStr">
        <is>
          <t>Abs</t>
        </is>
      </c>
      <c r="B60" s="59" t="inlineStr">
        <is>
          <t>Abs</t>
        </is>
      </c>
      <c r="C60" s="61" t="inlineStr">
        <is>
          <t>2 @ RIR2</t>
        </is>
      </c>
      <c r="D60" s="61" t="inlineStr">
        <is>
          <t>2 @ RIR1</t>
        </is>
      </c>
      <c r="E60" s="61" t="n"/>
    </row>
    <row r="61" ht="15.75" customHeight="1" s="52">
      <c r="A61" s="59" t="inlineStr">
        <is>
          <t>Movilidad</t>
        </is>
      </c>
      <c r="B61" s="59" t="inlineStr">
        <is>
          <t>-</t>
        </is>
      </c>
      <c r="C61" s="61" t="inlineStr">
        <is>
          <t>-</t>
        </is>
      </c>
      <c r="D61" s="61" t="inlineStr">
        <is>
          <t>-</t>
        </is>
      </c>
      <c r="E61" s="61" t="n"/>
    </row>
    <row r="62" ht="15.75" customHeight="1" s="52">
      <c r="A62" s="67" t="inlineStr">
        <is>
          <t>(D) Domingo = descanso total. Hidrátate y prioriza proteína/sueño tras la fiesta.</t>
        </is>
      </c>
      <c r="B62" s="56" t="n"/>
      <c r="C62" s="56" t="n"/>
      <c r="D62" s="56" t="n"/>
      <c r="E62" s="57" t="n"/>
    </row>
    <row r="63" ht="15.75" customHeight="1" s="52"/>
    <row r="64" ht="15.75" customHeight="1" s="52"/>
    <row r="65" ht="15.75" customHeight="1" s="52"/>
    <row r="66" ht="15.75" customHeight="1" s="52"/>
    <row r="67" ht="15.75" customHeight="1" s="52"/>
    <row r="68" ht="15.75" customHeight="1" s="52"/>
    <row r="69" ht="15.75" customHeight="1" s="52"/>
    <row r="70" ht="15.75" customHeight="1" s="52"/>
    <row r="71" ht="15.75" customHeight="1" s="52"/>
    <row r="72" ht="15.75" customHeight="1" s="52"/>
    <row r="73" ht="15.75" customHeight="1" s="52"/>
    <row r="74" ht="15.75" customHeight="1" s="52"/>
    <row r="75" ht="15.75" customHeight="1" s="52"/>
    <row r="76" ht="15.75" customHeight="1" s="52"/>
    <row r="77" ht="15.75" customHeight="1" s="52"/>
    <row r="78" ht="15.75" customHeight="1" s="52"/>
    <row r="79" ht="15.75" customHeight="1" s="52"/>
    <row r="80" ht="15.75" customHeight="1" s="52"/>
    <row r="81" ht="15.75" customHeight="1" s="52"/>
    <row r="82" ht="15.75" customHeight="1" s="52"/>
    <row r="83" ht="15.75" customHeight="1" s="52"/>
    <row r="84" ht="15.75" customHeight="1" s="52"/>
    <row r="85" ht="15.75" customHeight="1" s="52"/>
    <row r="86" ht="15.75" customHeight="1" s="52"/>
    <row r="87" ht="15.75" customHeight="1" s="52"/>
    <row r="88" ht="15.75" customHeight="1" s="52"/>
    <row r="89" ht="15.75" customHeight="1" s="52"/>
    <row r="90" ht="15.75" customHeight="1" s="52"/>
    <row r="91" ht="15.75" customHeight="1" s="52"/>
    <row r="92" ht="15.75" customHeight="1" s="52"/>
    <row r="93" ht="15.75" customHeight="1" s="52"/>
    <row r="94" ht="15.75" customHeight="1" s="52"/>
    <row r="95" ht="15.75" customHeight="1" s="52"/>
    <row r="96" ht="15.75" customHeight="1" s="52"/>
    <row r="97" ht="15.75" customHeight="1" s="52"/>
    <row r="98" ht="15.75" customHeight="1" s="52"/>
    <row r="99" ht="15.75" customHeight="1" s="52"/>
    <row r="100" ht="15.75" customHeight="1" s="52"/>
    <row r="101" ht="15.75" customHeight="1" s="52"/>
    <row r="102" ht="15.75" customHeight="1" s="52"/>
    <row r="103" ht="15.75" customHeight="1" s="52"/>
    <row r="104" ht="15.75" customHeight="1" s="52"/>
    <row r="105" ht="15.75" customHeight="1" s="52"/>
    <row r="106" ht="15.75" customHeight="1" s="52"/>
    <row r="107" ht="15.75" customHeight="1" s="52"/>
    <row r="108" ht="15.75" customHeight="1" s="52"/>
    <row r="109" ht="15.75" customHeight="1" s="52"/>
    <row r="110" ht="15.75" customHeight="1" s="52"/>
    <row r="111" ht="15.75" customHeight="1" s="52"/>
    <row r="112" ht="15.75" customHeight="1" s="52"/>
    <row r="113" ht="15.75" customHeight="1" s="52"/>
    <row r="114" ht="15.75" customHeight="1" s="52"/>
    <row r="115" ht="15.75" customHeight="1" s="52"/>
    <row r="116" ht="15.75" customHeight="1" s="52"/>
    <row r="117" ht="15.75" customHeight="1" s="52"/>
    <row r="118" ht="15.75" customHeight="1" s="52"/>
    <row r="119" ht="15.75" customHeight="1" s="52"/>
    <row r="120" ht="15.75" customHeight="1" s="52"/>
    <row r="121" ht="15.75" customHeight="1" s="52"/>
    <row r="122" ht="15.75" customHeight="1" s="52"/>
    <row r="123" ht="15.75" customHeight="1" s="52"/>
    <row r="124" ht="15.75" customHeight="1" s="52"/>
    <row r="125" ht="15.75" customHeight="1" s="52"/>
    <row r="126" ht="15.75" customHeight="1" s="52"/>
    <row r="127" ht="15.75" customHeight="1" s="52"/>
    <row r="128" ht="15.75" customHeight="1" s="52"/>
    <row r="129" ht="15.75" customHeight="1" s="52"/>
    <row r="130" ht="15.75" customHeight="1" s="52"/>
    <row r="131" ht="15.75" customHeight="1" s="52"/>
    <row r="132" ht="15.75" customHeight="1" s="52"/>
    <row r="133" ht="15.75" customHeight="1" s="52"/>
    <row r="134" ht="15.75" customHeight="1" s="52"/>
    <row r="135" ht="15.75" customHeight="1" s="52"/>
    <row r="136" ht="15.75" customHeight="1" s="52"/>
    <row r="137" ht="15.75" customHeight="1" s="52"/>
    <row r="138" ht="15.75" customHeight="1" s="52"/>
    <row r="139" ht="15.75" customHeight="1" s="52"/>
    <row r="140" ht="15.75" customHeight="1" s="52"/>
    <row r="141" ht="15.75" customHeight="1" s="52"/>
    <row r="142" ht="15.75" customHeight="1" s="52"/>
    <row r="143" ht="15.75" customHeight="1" s="52"/>
    <row r="144" ht="15.75" customHeight="1" s="52"/>
    <row r="145" ht="15.75" customHeight="1" s="52"/>
    <row r="146" ht="15.75" customHeight="1" s="52"/>
    <row r="147" ht="15.75" customHeight="1" s="52"/>
    <row r="148" ht="15.75" customHeight="1" s="52"/>
    <row r="149" ht="15.75" customHeight="1" s="52"/>
    <row r="150" ht="15.75" customHeight="1" s="52"/>
    <row r="151" ht="15.75" customHeight="1" s="52"/>
    <row r="152" ht="15.75" customHeight="1" s="52"/>
    <row r="153" ht="15.75" customHeight="1" s="52"/>
    <row r="154" ht="15.75" customHeight="1" s="52"/>
    <row r="155" ht="15.75" customHeight="1" s="52"/>
    <row r="156" ht="15.75" customHeight="1" s="52"/>
    <row r="157" ht="15.75" customHeight="1" s="52"/>
    <row r="158" ht="15.75" customHeight="1" s="52"/>
    <row r="159" ht="15.75" customHeight="1" s="52"/>
    <row r="160" ht="15.75" customHeight="1" s="52"/>
    <row r="161" ht="15.75" customHeight="1" s="52"/>
    <row r="162" ht="15.75" customHeight="1" s="52"/>
    <row r="163" ht="15.75" customHeight="1" s="52"/>
    <row r="164" ht="15.75" customHeight="1" s="52"/>
    <row r="165" ht="15.75" customHeight="1" s="52"/>
    <row r="166" ht="15.75" customHeight="1" s="52"/>
    <row r="167" ht="15.75" customHeight="1" s="52"/>
    <row r="168" ht="15.75" customHeight="1" s="52"/>
    <row r="169" ht="15.75" customHeight="1" s="52"/>
    <row r="170" ht="15.75" customHeight="1" s="52"/>
    <row r="171" ht="15.75" customHeight="1" s="52"/>
    <row r="172" ht="15.75" customHeight="1" s="52"/>
    <row r="173" ht="15.75" customHeight="1" s="52"/>
    <row r="174" ht="15.75" customHeight="1" s="52"/>
    <row r="175" ht="15.75" customHeight="1" s="52"/>
    <row r="176" ht="15.75" customHeight="1" s="52"/>
    <row r="177" ht="15.75" customHeight="1" s="52"/>
    <row r="178" ht="15.75" customHeight="1" s="52"/>
    <row r="179" ht="15.75" customHeight="1" s="52"/>
    <row r="180" ht="15.75" customHeight="1" s="52"/>
    <row r="181" ht="15.75" customHeight="1" s="52"/>
    <row r="182" ht="15.75" customHeight="1" s="52"/>
    <row r="183" ht="15.75" customHeight="1" s="52"/>
    <row r="184" ht="15.75" customHeight="1" s="52"/>
    <row r="185" ht="15.75" customHeight="1" s="52"/>
    <row r="186" ht="15.75" customHeight="1" s="52"/>
    <row r="187" ht="15.75" customHeight="1" s="52"/>
    <row r="188" ht="15.75" customHeight="1" s="52"/>
    <row r="189" ht="15.75" customHeight="1" s="52"/>
    <row r="190" ht="15.75" customHeight="1" s="52"/>
    <row r="191" ht="15.75" customHeight="1" s="52"/>
    <row r="192" ht="15.75" customHeight="1" s="52"/>
    <row r="193" ht="15.75" customHeight="1" s="52"/>
    <row r="194" ht="15.75" customHeight="1" s="52"/>
    <row r="195" ht="15.75" customHeight="1" s="52"/>
    <row r="196" ht="15.75" customHeight="1" s="52"/>
    <row r="197" ht="15.75" customHeight="1" s="52"/>
    <row r="198" ht="15.75" customHeight="1" s="52"/>
    <row r="199" ht="15.75" customHeight="1" s="52"/>
    <row r="200" ht="15.75" customHeight="1" s="52"/>
    <row r="201" ht="15.75" customHeight="1" s="52"/>
    <row r="202" ht="15.75" customHeight="1" s="52"/>
    <row r="203" ht="15.75" customHeight="1" s="52"/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  <row r="1000" ht="15.75" customHeight="1" s="52"/>
  </sheetData>
  <mergeCells count="9">
    <mergeCell ref="A55:E55"/>
    <mergeCell ref="A34:E34"/>
    <mergeCell ref="A4:E4"/>
    <mergeCell ref="A62:E62"/>
    <mergeCell ref="A24:E24"/>
    <mergeCell ref="A2:E2"/>
    <mergeCell ref="A15:E15"/>
    <mergeCell ref="A1:E1"/>
    <mergeCell ref="A45:E45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4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390625" defaultRowHeight="15" zeroHeight="0" outlineLevelRow="0"/>
  <cols>
    <col width="32.02" customWidth="1" style="51" min="1" max="1"/>
    <col width="18.03" customWidth="1" style="51" min="2" max="3"/>
    <col width="34.03" customWidth="1" style="51" min="4" max="4"/>
    <col width="8.74" customWidth="1" style="51" min="5" max="6"/>
  </cols>
  <sheetData>
    <row r="1" ht="24" customHeight="1" s="52">
      <c r="A1" s="53" t="inlineStr">
        <is>
          <t>BLOQUE B · 3 – 16 ago · MANTENIMIENTO (fiesta 4–5 noches)</t>
        </is>
      </c>
    </row>
    <row r="2" ht="15" customHeight="1" s="52">
      <c r="A2" s="64" t="inlineStr">
        <is>
          <t>Igual las 2 semanas. 3 días cortos. TODO a 2–3 RIR, SIN fallo. No progresar: solo mantener.</t>
        </is>
      </c>
    </row>
    <row r="3" ht="15" customHeight="1" s="52"/>
    <row r="4" ht="15" customHeight="1" s="52">
      <c r="A4" s="65" t="inlineStr">
        <is>
          <t>Día 1  ·  Rehab + Push mínimo</t>
        </is>
      </c>
      <c r="B4" s="56" t="n"/>
      <c r="C4" s="56" t="n"/>
      <c r="D4" s="57" t="n"/>
    </row>
    <row r="5" ht="15" customHeight="1" s="52">
      <c r="A5" s="66" t="inlineStr">
        <is>
          <t>Ejercicio</t>
        </is>
      </c>
      <c r="B5" s="66" t="inlineStr">
        <is>
          <t>Objetivo</t>
        </is>
      </c>
      <c r="C5" s="66" t="inlineStr">
        <is>
          <t>Series@RIR</t>
        </is>
      </c>
      <c r="D5" s="66" t="inlineStr">
        <is>
          <t>Notas</t>
        </is>
      </c>
    </row>
    <row r="6" ht="15" customHeight="1" s="52">
      <c r="A6" s="62" t="inlineStr">
        <is>
          <t>Unilateral Abduction</t>
        </is>
      </c>
      <c r="B6" s="62" t="inlineStr">
        <is>
          <t>Rehab</t>
        </is>
      </c>
      <c r="C6" s="63" t="inlineStr">
        <is>
          <t>2 x15–20</t>
        </is>
      </c>
    </row>
    <row r="7" ht="15" customHeight="1" s="52">
      <c r="A7" s="62" t="inlineStr">
        <is>
          <t>Touchdown squat</t>
        </is>
      </c>
      <c r="B7" s="62" t="inlineStr">
        <is>
          <t>Rehab</t>
        </is>
      </c>
      <c r="C7" s="63" t="inlineStr">
        <is>
          <t>2 x15–20</t>
        </is>
      </c>
    </row>
    <row r="8" ht="15" customHeight="1" s="52">
      <c r="A8" s="62" t="inlineStr">
        <is>
          <t>Unilateral Bridge iso</t>
        </is>
      </c>
      <c r="B8" s="62" t="inlineStr">
        <is>
          <t>Rehab</t>
        </is>
      </c>
      <c r="C8" s="63" t="inlineStr">
        <is>
          <t>2 (20 s)</t>
        </is>
      </c>
    </row>
    <row r="9" ht="15" customHeight="1" s="52">
      <c r="A9" s="62" t="inlineStr">
        <is>
          <t>Zercher squat</t>
        </is>
      </c>
      <c r="B9" s="62" t="inlineStr">
        <is>
          <t>Rehab</t>
        </is>
      </c>
      <c r="C9" s="63" t="inlineStr">
        <is>
          <t>3 x12</t>
        </is>
      </c>
    </row>
    <row r="10" ht="15" customHeight="1" s="52">
      <c r="A10" s="62" t="inlineStr">
        <is>
          <t>Bulgarian split squat</t>
        </is>
      </c>
      <c r="B10" s="62" t="inlineStr">
        <is>
          <t>Rehab</t>
        </is>
      </c>
      <c r="C10" s="63" t="inlineStr">
        <is>
          <t>2 x12</t>
        </is>
      </c>
    </row>
    <row r="11" ht="15" customHeight="1" s="52">
      <c r="A11" s="59" t="inlineStr">
        <is>
          <t>Press inclinado manc</t>
        </is>
      </c>
      <c r="B11" s="59" t="inlineStr">
        <is>
          <t>Pecho</t>
        </is>
      </c>
      <c r="C11" s="61" t="inlineStr">
        <is>
          <t>2 @ RIR2</t>
        </is>
      </c>
    </row>
    <row r="12" ht="15" customHeight="1" s="52">
      <c r="A12" s="59" t="inlineStr">
        <is>
          <t>Laterales</t>
        </is>
      </c>
      <c r="B12" s="59" t="inlineStr">
        <is>
          <t>Hombro lat.</t>
        </is>
      </c>
      <c r="C12" s="61" t="inlineStr">
        <is>
          <t>2 @ RIR2</t>
        </is>
      </c>
    </row>
    <row r="13" ht="15" customHeight="1" s="52">
      <c r="A13" s="59" t="inlineStr">
        <is>
          <t>Extensión tríceps unil</t>
        </is>
      </c>
      <c r="B13" s="59" t="inlineStr">
        <is>
          <t>Tríceps</t>
        </is>
      </c>
      <c r="C13" s="61" t="inlineStr">
        <is>
          <t>1 @ RIR2</t>
        </is>
      </c>
    </row>
    <row r="14" ht="15" customHeight="1" s="52"/>
    <row r="15" ht="15" customHeight="1" s="52">
      <c r="A15" s="65" t="inlineStr">
        <is>
          <t>Día 2  ·  Rehab + Pull mínimo</t>
        </is>
      </c>
      <c r="B15" s="56" t="n"/>
      <c r="C15" s="56" t="n"/>
      <c r="D15" s="57" t="n"/>
    </row>
    <row r="16" ht="15" customHeight="1" s="52">
      <c r="A16" s="66" t="inlineStr">
        <is>
          <t>Ejercicio</t>
        </is>
      </c>
      <c r="B16" s="66" t="inlineStr">
        <is>
          <t>Objetivo</t>
        </is>
      </c>
      <c r="C16" s="66" t="inlineStr">
        <is>
          <t>Series@RIR</t>
        </is>
      </c>
      <c r="D16" s="66" t="inlineStr">
        <is>
          <t>Notas</t>
        </is>
      </c>
    </row>
    <row r="17" ht="15" customHeight="1" s="52">
      <c r="A17" s="62" t="inlineStr">
        <is>
          <t>Unilateral Abduction</t>
        </is>
      </c>
      <c r="B17" s="62" t="inlineStr">
        <is>
          <t>Rehab</t>
        </is>
      </c>
      <c r="C17" s="63" t="inlineStr">
        <is>
          <t>2 x15–20</t>
        </is>
      </c>
    </row>
    <row r="18" ht="15" customHeight="1" s="52">
      <c r="A18" s="62" t="inlineStr">
        <is>
          <t>Touchdown squat</t>
        </is>
      </c>
      <c r="B18" s="62" t="inlineStr">
        <is>
          <t>Rehab</t>
        </is>
      </c>
      <c r="C18" s="63" t="inlineStr">
        <is>
          <t>2 x15–20</t>
        </is>
      </c>
    </row>
    <row r="19" ht="15" customHeight="1" s="52">
      <c r="A19" s="62" t="inlineStr">
        <is>
          <t>Unilateral Bridge iso</t>
        </is>
      </c>
      <c r="B19" s="62" t="inlineStr">
        <is>
          <t>Rehab</t>
        </is>
      </c>
      <c r="C19" s="63" t="inlineStr">
        <is>
          <t>2 (20 s)</t>
        </is>
      </c>
    </row>
    <row r="20" ht="15" customHeight="1" s="52">
      <c r="A20" s="62" t="inlineStr">
        <is>
          <t>Zercher squat</t>
        </is>
      </c>
      <c r="B20" s="62" t="inlineStr">
        <is>
          <t>Rehab</t>
        </is>
      </c>
      <c r="C20" s="63" t="inlineStr">
        <is>
          <t>3 x12</t>
        </is>
      </c>
    </row>
    <row r="21" ht="15.75" customHeight="1" s="52">
      <c r="A21" s="62" t="inlineStr">
        <is>
          <t>Bulgarian split squat</t>
        </is>
      </c>
      <c r="B21" s="62" t="inlineStr">
        <is>
          <t>Rehab</t>
        </is>
      </c>
      <c r="C21" s="63" t="inlineStr">
        <is>
          <t>2 x12</t>
        </is>
      </c>
    </row>
    <row r="22" ht="15.75" customHeight="1" s="52">
      <c r="A22" s="59" t="inlineStr">
        <is>
          <t>Dominadas neutro</t>
        </is>
      </c>
      <c r="B22" s="59" t="inlineStr">
        <is>
          <t>Espalda</t>
        </is>
      </c>
      <c r="C22" s="61" t="inlineStr">
        <is>
          <t>2 @ RIR2</t>
        </is>
      </c>
    </row>
    <row r="23" ht="15.75" customHeight="1" s="52">
      <c r="A23" s="59" t="inlineStr">
        <is>
          <t>Remo apoyado</t>
        </is>
      </c>
      <c r="B23" s="59" t="inlineStr">
        <is>
          <t>Espalda</t>
        </is>
      </c>
      <c r="C23" s="61" t="inlineStr">
        <is>
          <t>1 @ RIR2</t>
        </is>
      </c>
    </row>
    <row r="24" ht="15.75" customHeight="1" s="52">
      <c r="A24" s="59" t="inlineStr">
        <is>
          <t>Curl biceps</t>
        </is>
      </c>
      <c r="B24" s="59" t="inlineStr">
        <is>
          <t>Bíceps</t>
        </is>
      </c>
      <c r="C24" s="61" t="inlineStr">
        <is>
          <t>2 @ RIR2</t>
        </is>
      </c>
    </row>
    <row r="25" ht="15.75" customHeight="1" s="52"/>
    <row r="26" ht="15.75" customHeight="1" s="52">
      <c r="A26" s="65" t="inlineStr">
        <is>
          <t>Día 3  ·  Rehab ligero + full mínimo</t>
        </is>
      </c>
      <c r="B26" s="56" t="n"/>
      <c r="C26" s="56" t="n"/>
      <c r="D26" s="57" t="n"/>
    </row>
    <row r="27" ht="15.75" customHeight="1" s="52">
      <c r="A27" s="66" t="inlineStr">
        <is>
          <t>Ejercicio</t>
        </is>
      </c>
      <c r="B27" s="66" t="inlineStr">
        <is>
          <t>Objetivo</t>
        </is>
      </c>
      <c r="C27" s="66" t="inlineStr">
        <is>
          <t>Series@RIR</t>
        </is>
      </c>
      <c r="D27" s="66" t="inlineStr">
        <is>
          <t>Notas</t>
        </is>
      </c>
    </row>
    <row r="28" ht="15.75" customHeight="1" s="52">
      <c r="A28" s="62" t="inlineStr">
        <is>
          <t>Unilateral Abduction</t>
        </is>
      </c>
      <c r="B28" s="62" t="inlineStr">
        <is>
          <t>Rehab</t>
        </is>
      </c>
      <c r="C28" s="63" t="inlineStr">
        <is>
          <t>2 x15–20</t>
        </is>
      </c>
    </row>
    <row r="29" ht="15.75" customHeight="1" s="52">
      <c r="A29" s="62" t="inlineStr">
        <is>
          <t>Touchdown squat</t>
        </is>
      </c>
      <c r="B29" s="62" t="inlineStr">
        <is>
          <t>Rehab</t>
        </is>
      </c>
      <c r="C29" s="63" t="inlineStr">
        <is>
          <t>2 x15–20</t>
        </is>
      </c>
    </row>
    <row r="30" ht="15.75" customHeight="1" s="52">
      <c r="A30" s="62" t="inlineStr">
        <is>
          <t>Bulgarian split squat</t>
        </is>
      </c>
      <c r="B30" s="62" t="inlineStr">
        <is>
          <t>Rehab</t>
        </is>
      </c>
      <c r="C30" s="63" t="inlineStr">
        <is>
          <t>2 x12</t>
        </is>
      </c>
    </row>
    <row r="31" ht="15.75" customHeight="1" s="52">
      <c r="A31" s="59" t="inlineStr">
        <is>
          <t>Press incl manc cerrado</t>
        </is>
      </c>
      <c r="B31" s="59" t="inlineStr">
        <is>
          <t>Pecho/tríceps</t>
        </is>
      </c>
      <c r="C31" s="61" t="inlineStr">
        <is>
          <t>1 @ RIR2</t>
        </is>
      </c>
    </row>
    <row r="32" ht="15.75" customHeight="1" s="52">
      <c r="A32" s="59" t="inlineStr">
        <is>
          <t>Pullover manc + gomas</t>
        </is>
      </c>
      <c r="B32" s="59" t="inlineStr">
        <is>
          <t>Espalda</t>
        </is>
      </c>
      <c r="C32" s="61" t="inlineStr">
        <is>
          <t>1 @ RIR2</t>
        </is>
      </c>
    </row>
    <row r="33" ht="15.75" customHeight="1" s="52">
      <c r="A33" s="59" t="inlineStr">
        <is>
          <t>Laterales</t>
        </is>
      </c>
      <c r="B33" s="59" t="inlineStr">
        <is>
          <t>Hombro lat.</t>
        </is>
      </c>
      <c r="C33" s="61" t="inlineStr">
        <is>
          <t>1 @ RIR2</t>
        </is>
      </c>
    </row>
    <row r="34" ht="15.75" customHeight="1" s="52">
      <c r="A34" s="59" t="inlineStr">
        <is>
          <t>Isquios</t>
        </is>
      </c>
      <c r="B34" s="59" t="inlineStr">
        <is>
          <t>Isquios</t>
        </is>
      </c>
      <c r="C34" s="61" t="inlineStr">
        <is>
          <t>2 @ RIR2</t>
        </is>
      </c>
    </row>
    <row r="35" ht="15.75" customHeight="1" s="52">
      <c r="A35" s="59" t="inlineStr">
        <is>
          <t>Abs</t>
        </is>
      </c>
      <c r="B35" s="59" t="inlineStr">
        <is>
          <t>Abs</t>
        </is>
      </c>
      <c r="C35" s="61" t="inlineStr">
        <is>
          <t>2 @ RIR2</t>
        </is>
      </c>
    </row>
    <row r="36" ht="15.75" customHeight="1" s="52">
      <c r="A36" s="67" t="inlineStr">
        <is>
          <t>Coloca los 3 días en tus jornadas MENOS resacosas. Entrena ANTES de beber, nunca la mañana de después. Si un día es inviable: solo rehab/isométricos.</t>
        </is>
      </c>
      <c r="B36" s="56" t="n"/>
      <c r="C36" s="56" t="n"/>
      <c r="D36" s="57" t="n"/>
    </row>
    <row r="37" ht="15.75" customHeight="1" s="52"/>
    <row r="38" ht="15.75" customHeight="1" s="52"/>
    <row r="39" ht="15.75" customHeight="1" s="52">
      <c r="A39" s="55" t="inlineStr">
        <is>
          <t>REGLAS RODILLA (todo el bloque)</t>
        </is>
      </c>
      <c r="B39" s="56" t="n"/>
      <c r="C39" s="56" t="n"/>
      <c r="D39" s="57" t="n"/>
    </row>
    <row r="40" ht="15.75" customHeight="1" s="52">
      <c r="A40" s="59" t="inlineStr">
        <is>
          <t>•  Semáforo: hasta 3/10 durante/justo después es aceptable.</t>
        </is>
      </c>
      <c r="B40" s="56" t="n"/>
      <c r="C40" s="56" t="n"/>
      <c r="D40" s="57" t="n"/>
    </row>
    <row r="41" ht="15.75" customHeight="1" s="52">
      <c r="A41" s="59" t="inlineStr">
        <is>
          <t>•  Regla 24 h: si al día siguiente el dolor sube y no baja, no progreses esa carga.</t>
        </is>
      </c>
      <c r="B41" s="56" t="n"/>
      <c r="C41" s="56" t="n"/>
      <c r="D41" s="57" t="n"/>
    </row>
    <row r="42" ht="15.75" customHeight="1" s="52">
      <c r="A42" s="59" t="inlineStr">
        <is>
          <t>•  Alcohol y deshidratación pueden empeorar el tendón: extrema hidratación.</t>
        </is>
      </c>
      <c r="B42" s="56" t="n"/>
      <c r="C42" s="56" t="n"/>
      <c r="D42" s="57" t="n"/>
    </row>
    <row r="43" ht="15.75" customHeight="1" s="52">
      <c r="A43" s="59" t="inlineStr">
        <is>
          <t>•  Tras el 16/08: retoma tu mesociclo normal reentrando en MEV.</t>
        </is>
      </c>
      <c r="B43" s="56" t="n"/>
      <c r="C43" s="56" t="n"/>
      <c r="D43" s="57" t="n"/>
    </row>
    <row r="44" ht="15.75" customHeight="1" s="52"/>
    <row r="45" ht="15.75" customHeight="1" s="52"/>
    <row r="46" ht="15.75" customHeight="1" s="52"/>
    <row r="47" ht="15.75" customHeight="1" s="52"/>
    <row r="48" ht="15.75" customHeight="1" s="52"/>
    <row r="49" ht="15.75" customHeight="1" s="52"/>
    <row r="50" ht="15.75" customHeight="1" s="52"/>
    <row r="51" ht="15.75" customHeight="1" s="52"/>
    <row r="52" ht="15.75" customHeight="1" s="52"/>
    <row r="53" ht="15.75" customHeight="1" s="52"/>
    <row r="54" ht="15.75" customHeight="1" s="52"/>
    <row r="55" ht="15.75" customHeight="1" s="52"/>
    <row r="56" ht="15.75" customHeight="1" s="52"/>
    <row r="57" ht="15.75" customHeight="1" s="52"/>
    <row r="58" ht="15.75" customHeight="1" s="52"/>
    <row r="59" ht="15.75" customHeight="1" s="52"/>
    <row r="60" ht="15.75" customHeight="1" s="52"/>
    <row r="61" ht="15.75" customHeight="1" s="52"/>
    <row r="62" ht="15.75" customHeight="1" s="52"/>
    <row r="63" ht="15.75" customHeight="1" s="52"/>
    <row r="64" ht="15.75" customHeight="1" s="52"/>
    <row r="65" ht="15.75" customHeight="1" s="52"/>
    <row r="66" ht="15.75" customHeight="1" s="52"/>
    <row r="67" ht="15.75" customHeight="1" s="52"/>
    <row r="68" ht="15.75" customHeight="1" s="52"/>
    <row r="69" ht="15.75" customHeight="1" s="52"/>
    <row r="70" ht="15.75" customHeight="1" s="52"/>
    <row r="71" ht="15.75" customHeight="1" s="52"/>
    <row r="72" ht="15.75" customHeight="1" s="52"/>
    <row r="73" ht="15.75" customHeight="1" s="52"/>
    <row r="74" ht="15.75" customHeight="1" s="52"/>
    <row r="75" ht="15.75" customHeight="1" s="52"/>
    <row r="76" ht="15.75" customHeight="1" s="52"/>
    <row r="77" ht="15.75" customHeight="1" s="52"/>
    <row r="78" ht="15.75" customHeight="1" s="52"/>
    <row r="79" ht="15.75" customHeight="1" s="52"/>
    <row r="80" ht="15.75" customHeight="1" s="52"/>
    <row r="81" ht="15.75" customHeight="1" s="52"/>
    <row r="82" ht="15.75" customHeight="1" s="52"/>
    <row r="83" ht="15.75" customHeight="1" s="52"/>
    <row r="84" ht="15.75" customHeight="1" s="52"/>
    <row r="85" ht="15.75" customHeight="1" s="52"/>
    <row r="86" ht="15.75" customHeight="1" s="52"/>
    <row r="87" ht="15.75" customHeight="1" s="52"/>
    <row r="88" ht="15.75" customHeight="1" s="52"/>
    <row r="89" ht="15.75" customHeight="1" s="52"/>
    <row r="90" ht="15.75" customHeight="1" s="52"/>
    <row r="91" ht="15.75" customHeight="1" s="52"/>
    <row r="92" ht="15.75" customHeight="1" s="52"/>
    <row r="93" ht="15.75" customHeight="1" s="52"/>
    <row r="94" ht="15.75" customHeight="1" s="52"/>
    <row r="95" ht="15.75" customHeight="1" s="52"/>
    <row r="96" ht="15.75" customHeight="1" s="52"/>
    <row r="97" ht="15.75" customHeight="1" s="52"/>
    <row r="98" ht="15.75" customHeight="1" s="52"/>
    <row r="99" ht="15.75" customHeight="1" s="52"/>
    <row r="100" ht="15.75" customHeight="1" s="52"/>
    <row r="101" ht="15.75" customHeight="1" s="52"/>
    <row r="102" ht="15.75" customHeight="1" s="52"/>
    <row r="103" ht="15.75" customHeight="1" s="52"/>
    <row r="104" ht="15.75" customHeight="1" s="52"/>
    <row r="105" ht="15.75" customHeight="1" s="52"/>
    <row r="106" ht="15.75" customHeight="1" s="52"/>
    <row r="107" ht="15.75" customHeight="1" s="52"/>
    <row r="108" ht="15.75" customHeight="1" s="52"/>
    <row r="109" ht="15.75" customHeight="1" s="52"/>
    <row r="110" ht="15.75" customHeight="1" s="52"/>
    <row r="111" ht="15.75" customHeight="1" s="52"/>
    <row r="112" ht="15.75" customHeight="1" s="52"/>
    <row r="113" ht="15.75" customHeight="1" s="52"/>
    <row r="114" ht="15.75" customHeight="1" s="52"/>
    <row r="115" ht="15.75" customHeight="1" s="52"/>
    <row r="116" ht="15.75" customHeight="1" s="52"/>
    <row r="117" ht="15.75" customHeight="1" s="52"/>
    <row r="118" ht="15.75" customHeight="1" s="52"/>
    <row r="119" ht="15.75" customHeight="1" s="52"/>
    <row r="120" ht="15.75" customHeight="1" s="52"/>
    <row r="121" ht="15.75" customHeight="1" s="52"/>
    <row r="122" ht="15.75" customHeight="1" s="52"/>
    <row r="123" ht="15.75" customHeight="1" s="52"/>
    <row r="124" ht="15.75" customHeight="1" s="52"/>
    <row r="125" ht="15.75" customHeight="1" s="52"/>
    <row r="126" ht="15.75" customHeight="1" s="52"/>
    <row r="127" ht="15.75" customHeight="1" s="52"/>
    <row r="128" ht="15.75" customHeight="1" s="52"/>
    <row r="129" ht="15.75" customHeight="1" s="52"/>
    <row r="130" ht="15.75" customHeight="1" s="52"/>
    <row r="131" ht="15.75" customHeight="1" s="52"/>
    <row r="132" ht="15.75" customHeight="1" s="52"/>
    <row r="133" ht="15.75" customHeight="1" s="52"/>
    <row r="134" ht="15.75" customHeight="1" s="52"/>
    <row r="135" ht="15.75" customHeight="1" s="52"/>
    <row r="136" ht="15.75" customHeight="1" s="52"/>
    <row r="137" ht="15.75" customHeight="1" s="52"/>
    <row r="138" ht="15.75" customHeight="1" s="52"/>
    <row r="139" ht="15.75" customHeight="1" s="52"/>
    <row r="140" ht="15.75" customHeight="1" s="52"/>
    <row r="141" ht="15.75" customHeight="1" s="52"/>
    <row r="142" ht="15.75" customHeight="1" s="52"/>
    <row r="143" ht="15.75" customHeight="1" s="52"/>
    <row r="144" ht="15.75" customHeight="1" s="52"/>
    <row r="145" ht="15.75" customHeight="1" s="52"/>
    <row r="146" ht="15.75" customHeight="1" s="52"/>
    <row r="147" ht="15.75" customHeight="1" s="52"/>
    <row r="148" ht="15.75" customHeight="1" s="52"/>
    <row r="149" ht="15.75" customHeight="1" s="52"/>
    <row r="150" ht="15.75" customHeight="1" s="52"/>
    <row r="151" ht="15.75" customHeight="1" s="52"/>
    <row r="152" ht="15.75" customHeight="1" s="52"/>
    <row r="153" ht="15.75" customHeight="1" s="52"/>
    <row r="154" ht="15.75" customHeight="1" s="52"/>
    <row r="155" ht="15.75" customHeight="1" s="52"/>
    <row r="156" ht="15.75" customHeight="1" s="52"/>
    <row r="157" ht="15.75" customHeight="1" s="52"/>
    <row r="158" ht="15.75" customHeight="1" s="52"/>
    <row r="159" ht="15.75" customHeight="1" s="52"/>
    <row r="160" ht="15.75" customHeight="1" s="52"/>
    <row r="161" ht="15.75" customHeight="1" s="52"/>
    <row r="162" ht="15.75" customHeight="1" s="52"/>
    <row r="163" ht="15.75" customHeight="1" s="52"/>
    <row r="164" ht="15.75" customHeight="1" s="52"/>
    <row r="165" ht="15.75" customHeight="1" s="52"/>
    <row r="166" ht="15.75" customHeight="1" s="52"/>
    <row r="167" ht="15.75" customHeight="1" s="52"/>
    <row r="168" ht="15.75" customHeight="1" s="52"/>
    <row r="169" ht="15.75" customHeight="1" s="52"/>
    <row r="170" ht="15.75" customHeight="1" s="52"/>
    <row r="171" ht="15.75" customHeight="1" s="52"/>
    <row r="172" ht="15.75" customHeight="1" s="52"/>
    <row r="173" ht="15.75" customHeight="1" s="52"/>
    <row r="174" ht="15.75" customHeight="1" s="52"/>
    <row r="175" ht="15.75" customHeight="1" s="52"/>
    <row r="176" ht="15.75" customHeight="1" s="52"/>
    <row r="177" ht="15.75" customHeight="1" s="52"/>
    <row r="178" ht="15.75" customHeight="1" s="52"/>
    <row r="179" ht="15.75" customHeight="1" s="52"/>
    <row r="180" ht="15.75" customHeight="1" s="52"/>
    <row r="181" ht="15.75" customHeight="1" s="52"/>
    <row r="182" ht="15.75" customHeight="1" s="52"/>
    <row r="183" ht="15.75" customHeight="1" s="52"/>
    <row r="184" ht="15.75" customHeight="1" s="52"/>
    <row r="185" ht="15.75" customHeight="1" s="52"/>
    <row r="186" ht="15.75" customHeight="1" s="52"/>
    <row r="187" ht="15.75" customHeight="1" s="52"/>
    <row r="188" ht="15.75" customHeight="1" s="52"/>
    <row r="189" ht="15.75" customHeight="1" s="52"/>
    <row r="190" ht="15.75" customHeight="1" s="52"/>
    <row r="191" ht="15.75" customHeight="1" s="52"/>
    <row r="192" ht="15.75" customHeight="1" s="52"/>
    <row r="193" ht="15.75" customHeight="1" s="52"/>
    <row r="194" ht="15.75" customHeight="1" s="52"/>
    <row r="195" ht="15.75" customHeight="1" s="52"/>
    <row r="196" ht="15.75" customHeight="1" s="52"/>
    <row r="197" ht="15.75" customHeight="1" s="52"/>
    <row r="198" ht="15.75" customHeight="1" s="52"/>
    <row r="199" ht="15.75" customHeight="1" s="52"/>
    <row r="200" ht="15.75" customHeight="1" s="52"/>
    <row r="201" ht="15.75" customHeight="1" s="52"/>
    <row r="202" ht="15.75" customHeight="1" s="52"/>
    <row r="203" ht="15.75" customHeight="1" s="52"/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  <row r="1000" ht="15.75" customHeight="1" s="52"/>
  </sheetData>
  <mergeCells count="11">
    <mergeCell ref="A1:D1"/>
    <mergeCell ref="A40:D40"/>
    <mergeCell ref="A4:D4"/>
    <mergeCell ref="A26:D26"/>
    <mergeCell ref="A39:D39"/>
    <mergeCell ref="A15:D15"/>
    <mergeCell ref="A43:D43"/>
    <mergeCell ref="A41:D41"/>
    <mergeCell ref="A2:D2"/>
    <mergeCell ref="A42:D42"/>
    <mergeCell ref="A36:D36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K113"/>
  <sheetViews>
    <sheetView showFormulas="0" showGridLines="0" showRowColHeaders="1" showZeros="1" rightToLeft="0" tabSelected="1" showOutlineSymbols="1" defaultGridColor="1" view="normal" topLeftCell="A33" colorId="64" zoomScale="100" zoomScaleNormal="100" zoomScalePageLayoutView="100" workbookViewId="0">
      <selection pane="topLeft" activeCell="A41" activeCellId="0" sqref="A41"/>
    </sheetView>
  </sheetViews>
  <sheetFormatPr baseColWidth="8" defaultColWidth="14.390625" defaultRowHeight="15" zeroHeight="0" outlineLevelRow="0"/>
  <cols>
    <col width="36.05" customWidth="1" style="51" min="1" max="1"/>
    <col width="16.01" customWidth="1" style="51" min="2" max="2"/>
    <col width="13.04" customWidth="1" style="51" min="3" max="10"/>
    <col width="94.97" customWidth="1" style="51" min="11" max="11"/>
  </cols>
  <sheetData>
    <row r="1" ht="24" customHeight="1" s="52">
      <c r="A1" s="53" t="inlineStr">
        <is>
          <t>Volumen · 19/10 – 13/12 · 8 semanas (sem 9 = viaje/descarga)</t>
        </is>
      </c>
    </row>
    <row r="2" ht="51.75" customHeight="1" s="52">
      <c r="A2" s="64" t="inlineStr">
        <is>
          <t>RIR1/0 = todas las series a RIR1 y la ÚLTIMA a RIR0 (si solo hay 1 serie, RIR0).  REHAB RODILLA S2-S8 en 2 días: lunes (touchdown + prensa) y jueves (sentadilla + búlgara), pesado y lento, tempo 3-1-3; D a RIR 2 y en su escalón de profundidad, I a RIR 1-2 y rango completo. Reps: ×12 S1 → ×10 S2-4 → ×8 S5-8 → ×6 tras el viaje. Una novedad por día (lunes profundidad/reps · miércoles carrera), solo si esa mañana estás igual o mejor. El calendario marca el máximo de cada semana: se progresa según el semáforo (Avanzar / Mantener / Retroceder) y la app prescribe con el nivel real. Reglas al final de la hoja; registro diario en «Seguimiento rodilla».</t>
        </is>
      </c>
    </row>
    <row r="3" ht="15" customHeight="1" s="52">
      <c r="A3" s="59" t="n"/>
      <c r="B3" s="59" t="n"/>
      <c r="C3" s="61" t="n"/>
      <c r="D3" s="61" t="n"/>
      <c r="E3" s="61" t="n"/>
      <c r="F3" s="61" t="n"/>
      <c r="G3" s="61" t="n"/>
      <c r="H3" s="61" t="n"/>
      <c r="I3" s="61" t="n"/>
      <c r="J3" s="61" t="n"/>
      <c r="K3" s="61" t="n"/>
    </row>
    <row r="4" ht="19.5" customHeight="1" s="52">
      <c r="A4" s="68" t="inlineStr">
        <is>
          <t>(L) Lunes  ·  Rehab + Isquios + Hombro + Gemelo</t>
        </is>
      </c>
      <c r="B4" s="56" t="n"/>
      <c r="C4" s="56" t="n"/>
      <c r="D4" s="56" t="n"/>
      <c r="E4" s="56" t="n"/>
      <c r="F4" s="56" t="n"/>
      <c r="G4" s="56" t="n"/>
      <c r="H4" s="56" t="n"/>
      <c r="I4" s="56" t="n"/>
      <c r="J4" s="56" t="n"/>
      <c r="K4" s="57" t="n"/>
    </row>
    <row r="5" ht="27" customHeight="1" s="52">
      <c r="A5" s="66" t="inlineStr">
        <is>
          <t>Ejercicio</t>
        </is>
      </c>
      <c r="B5" s="66" t="inlineStr">
        <is>
          <t>Objetivo</t>
        </is>
      </c>
      <c r="C5" s="66" t="inlineStr">
        <is>
          <t>Sem 1 (series@RIR)</t>
        </is>
      </c>
      <c r="D5" s="66" t="inlineStr">
        <is>
          <t>Sem 2 (series@RIR)</t>
        </is>
      </c>
      <c r="E5" s="66" t="inlineStr">
        <is>
          <t>Sem 3 (series@RIR)</t>
        </is>
      </c>
      <c r="F5" s="66" t="inlineStr">
        <is>
          <t>Sem 4 (series@RIR)</t>
        </is>
      </c>
      <c r="G5" s="66" t="inlineStr">
        <is>
          <t>Sem 5 (series@RIR)</t>
        </is>
      </c>
      <c r="H5" s="66" t="inlineStr">
        <is>
          <t>Sem 6 (series@RIR)</t>
        </is>
      </c>
      <c r="I5" s="66" t="inlineStr">
        <is>
          <t>Sem 7 (series@RIR)</t>
        </is>
      </c>
      <c r="J5" s="66" t="inlineStr">
        <is>
          <t>Sem 8 (series@RIR)</t>
        </is>
      </c>
      <c r="K5" s="66" t="inlineStr">
        <is>
          <t>Notas</t>
        </is>
      </c>
    </row>
    <row r="6" ht="15.75" customHeight="1" s="52">
      <c r="A6" s="59" t="inlineStr">
        <is>
          <t>Elev laterales polea</t>
        </is>
      </c>
      <c r="B6" s="59" t="inlineStr">
        <is>
          <t>Hombro lat.</t>
        </is>
      </c>
      <c r="C6" s="61" t="inlineStr">
        <is>
          <t>2 @ RIR1/0</t>
        </is>
      </c>
      <c r="D6" s="61" t="inlineStr">
        <is>
          <t>2 @ RIR1/0</t>
        </is>
      </c>
      <c r="E6" s="61" t="inlineStr">
        <is>
          <t>2 @ RIR1/0</t>
        </is>
      </c>
      <c r="F6" s="61" t="inlineStr">
        <is>
          <t>2 @ RIR1/0</t>
        </is>
      </c>
      <c r="G6" s="61" t="inlineStr">
        <is>
          <t>2 @ RIR1/0</t>
        </is>
      </c>
      <c r="H6" s="61" t="inlineStr">
        <is>
          <t>2 @ RIR1/0</t>
        </is>
      </c>
      <c r="I6" s="61" t="inlineStr">
        <is>
          <t>2 @ RIR1/0</t>
        </is>
      </c>
      <c r="J6" s="61" t="inlineStr">
        <is>
          <t>3 @ RIR1/0</t>
        </is>
      </c>
      <c r="K6" s="62" t="inlineStr">
        <is>
          <t>Prioridad 1 · Polea altura muñeca/muslo en plano escapular (~30° adelante). Intercalar en superserie alterna con la abducción (máquina) para dar 3-4 min de descanso al deltoides antes de las mancuernas.</t>
        </is>
      </c>
    </row>
    <row r="7" ht="43.5" customHeight="1" s="52">
      <c r="A7" s="62" t="inlineStr">
        <is>
          <t>Abducción de pie unilateral (máquina)</t>
        </is>
      </c>
      <c r="B7" s="62" t="inlineStr">
        <is>
          <t>Rehab (cadera)</t>
        </is>
      </c>
      <c r="C7" s="63" t="inlineStr">
        <is>
          <t>2 x15–20</t>
        </is>
      </c>
      <c r="D7" s="63" t="inlineStr">
        <is>
          <t>3 x10-15/pierna
@RIR1-2</t>
        </is>
      </c>
      <c r="E7" s="63" t="inlineStr">
        <is>
          <t>3 x10-15/pierna
@RIR1-2</t>
        </is>
      </c>
      <c r="F7" s="63" t="inlineStr">
        <is>
          <t>3 x10-15/pierna
@RIR1-2</t>
        </is>
      </c>
      <c r="G7" s="63" t="inlineStr">
        <is>
          <t>3 x10-15/pierna
@RIR1-2</t>
        </is>
      </c>
      <c r="H7" s="63" t="inlineStr">
        <is>
          <t>3 x10-15/pierna
@RIR1-2</t>
        </is>
      </c>
      <c r="I7" s="63" t="inlineStr">
        <is>
          <t>3 x10-15/pierna
@RIR1-2</t>
        </is>
      </c>
      <c r="J7" s="63" t="inlineStr">
        <is>
          <t>3 x10-15/pierna
@RIR1-2</t>
        </is>
      </c>
      <c r="K7" s="62" t="inlineStr">
        <is>
          <t>Cadera: de pie, unilateral, en máquina; empieza por la D y sube carga cuando llegues a 15 con RIR 1-2. Cadera + rodilla combinadas = primera línea en los consensos de 2016 y 2018 [EVIDENCIA]. No cuenta como novedad: apenas carga la rodilla [LÓGICA]. Antes del rehab: sentadilla española 2-3×45 s.</t>
        </is>
      </c>
    </row>
    <row r="8" ht="15.75" customHeight="1" s="52">
      <c r="A8" s="59" t="inlineStr">
        <is>
          <t>Elev laterales mancuerna</t>
        </is>
      </c>
      <c r="B8" s="59" t="inlineStr">
        <is>
          <t>Hombro lat.</t>
        </is>
      </c>
      <c r="C8" s="61" t="inlineStr">
        <is>
          <t>1 @ RIR0</t>
        </is>
      </c>
      <c r="D8" s="61" t="inlineStr">
        <is>
          <t>1 @ RIR0</t>
        </is>
      </c>
      <c r="E8" s="61" t="inlineStr">
        <is>
          <t>1 @ RIR0</t>
        </is>
      </c>
      <c r="F8" s="61" t="inlineStr">
        <is>
          <t>1 @ RIR0</t>
        </is>
      </c>
      <c r="G8" s="61" t="inlineStr">
        <is>
          <t>2 @ RIR1/0</t>
        </is>
      </c>
      <c r="H8" s="61" t="inlineStr">
        <is>
          <t>2 @ RIR1/0</t>
        </is>
      </c>
      <c r="I8" s="61" t="inlineStr">
        <is>
          <t>2 @ RIR1/0</t>
        </is>
      </c>
      <c r="J8" s="61" t="inlineStr">
        <is>
          <t>2 @ RIR1/0</t>
        </is>
      </c>
      <c r="K8" s="62" t="inlineStr">
        <is>
          <t>Prioridad 1 · Hacer tras el 1er bloque de la abducción (máquina) · Perfil en acortamiento, controlar bajada sin rebotar.</t>
        </is>
      </c>
    </row>
    <row r="9" ht="43.5" customHeight="1" s="52">
      <c r="A9" s="62" t="inlineStr">
        <is>
          <t>Touchdown squat</t>
        </is>
      </c>
      <c r="B9" s="62" t="inlineStr">
        <is>
          <t>Rehab</t>
        </is>
      </c>
      <c r="C9" s="63" t="inlineStr">
        <is>
          <t>2 x15–20</t>
        </is>
      </c>
      <c r="D9" s="63" t="inlineStr">
        <is>
          <t>2 x10-15/pierna</t>
        </is>
      </c>
      <c r="E9" s="63" t="inlineStr">
        <is>
          <t>2 x10-15/pierna</t>
        </is>
      </c>
      <c r="F9" s="63" t="inlineStr">
        <is>
          <t>2 x10-15/pierna</t>
        </is>
      </c>
      <c r="G9" s="63" t="inlineStr">
        <is>
          <t>2 x10-15/pierna</t>
        </is>
      </c>
      <c r="H9" s="63" t="inlineStr">
        <is>
          <t>2 x10-15/pierna</t>
        </is>
      </c>
      <c r="I9" s="63" t="inlineStr">
        <is>
          <t>2 x10-15/pierna</t>
        </is>
      </c>
      <c r="J9" s="63" t="inlineStr">
        <is>
          <t>2 x10-15/pierna
repite S7</t>
        </is>
      </c>
      <c r="K9" s="63" t="inlineStr">
        <is>
          <t>Control antes de la prensa. D a la profundidad YA validada (la de la semana anterior), I completa; tempo 2-0-2, RIR 3; pelvis nivelada y rodilla hacia el 2.º-4.º dedo. Hace de filtro: si la D pasa de 3/10 aquí, ese lunes no se sube escalón en la prensa [LÓGICA].</t>
        </is>
      </c>
    </row>
    <row r="10" ht="68.25" customHeight="1" s="52">
      <c r="A10" s="62" t="inlineStr">
        <is>
          <t>Prensa unil · pesado y lento n.º 1</t>
        </is>
      </c>
      <c r="B10" s="62" t="inlineStr">
        <is>
          <t>Rehab</t>
        </is>
      </c>
      <c r="C10" s="63" t="inlineStr">
        <is>
          <t>2 x12</t>
        </is>
      </c>
      <c r="D10" s="63" t="inlineStr">
        <is>
          <t>2 x10/pierna
nov: x10</t>
        </is>
      </c>
      <c r="E10" s="63" t="inlineStr">
        <is>
          <t>2 x10/pierna
nov: +1 escalón</t>
        </is>
      </c>
      <c r="F10" s="63" t="inlineStr">
        <is>
          <t>2 x10/pierna
nov: +1 escalón</t>
        </is>
      </c>
      <c r="G10" s="63" t="inlineStr">
        <is>
          <t>2 x8/pierna
nov: x8</t>
        </is>
      </c>
      <c r="H10" s="63" t="inlineStr">
        <is>
          <t>2 x8/pierna
nov: +1 escalón</t>
        </is>
      </c>
      <c r="I10" s="63" t="inlineStr">
        <is>
          <t>2 x8/pierna
nov: +1 escalón</t>
        </is>
      </c>
      <c r="J10" s="63" t="inlineStr">
        <is>
          <t>2 x8/pierna
repite S7</t>
        </is>
      </c>
      <c r="K10" s="62" t="inlineStr">
        <is>
          <t>Pesado y lento para el tendón [EVIDENCIA: Kongsgaard 2009; 1-2 veces/semana para mantenerlo: LÓGICA]. Tempo 3-1-3. D primero: RIR 2 y profundidad de su escalón. I: RIR 1-2, rango completo y mismas reps. Lunes = día de novedad (escalón o reps): solo si esa mañana estás igual o mejor y la touchdown no pasa de 3/10; si no, repite la semana anterior. En la sesión con novedad no cambies nada más (con escalón nuevo, mismo peso).</t>
        </is>
      </c>
    </row>
    <row r="11" ht="15.75" customHeight="1" s="52">
      <c r="A11" s="59" t="inlineStr">
        <is>
          <t>Gemelos prensa</t>
        </is>
      </c>
      <c r="B11" s="59" t="inlineStr">
        <is>
          <t>Gemelos</t>
        </is>
      </c>
      <c r="C11" s="61" t="inlineStr">
        <is>
          <t>3 @ RIR1/0</t>
        </is>
      </c>
      <c r="D11" s="61" t="inlineStr">
        <is>
          <t>3 @ RIR1/0</t>
        </is>
      </c>
      <c r="E11" s="61" t="inlineStr">
        <is>
          <t>4 @ RIR1/0</t>
        </is>
      </c>
      <c r="F11" s="61" t="inlineStr">
        <is>
          <t>4 @ RIR1/0</t>
        </is>
      </c>
      <c r="G11" s="61" t="inlineStr">
        <is>
          <t>4 @ RIR1/0</t>
        </is>
      </c>
      <c r="H11" s="61" t="inlineStr">
        <is>
          <t>4 @ RIR1/0</t>
        </is>
      </c>
      <c r="I11" s="61" t="inlineStr">
        <is>
          <t>5 @ RIR1/0</t>
        </is>
      </c>
      <c r="J11" s="61" t="inlineStr">
        <is>
          <t>5 @ RIR1/0</t>
        </is>
      </c>
      <c r="K11" s="62" t="inlineStr">
        <is>
          <t>Prensa con pies abajo · Pausa estricta de 2 s en máximo estiramiento abajo (sin rebotar en el tendón de Aquiles) + rodilla semirrígida.</t>
        </is>
      </c>
    </row>
    <row r="12" ht="15" customHeight="1" s="52">
      <c r="A12" s="59" t="inlineStr">
        <is>
          <t>Hiperextensiones</t>
        </is>
      </c>
      <c r="B12" s="59" t="inlineStr">
        <is>
          <t>Isquios</t>
        </is>
      </c>
      <c r="C12" s="61" t="inlineStr">
        <is>
          <t>2 @ RIR1/0</t>
        </is>
      </c>
      <c r="D12" s="61" t="inlineStr">
        <is>
          <t>2 @ RIR1/0</t>
        </is>
      </c>
      <c r="E12" s="61" t="inlineStr">
        <is>
          <t>2 @ RIR1/0</t>
        </is>
      </c>
      <c r="F12" s="61" t="inlineStr">
        <is>
          <t>3 @ RIR1/0</t>
        </is>
      </c>
      <c r="G12" s="61" t="inlineStr">
        <is>
          <t>3 @ RIR1/0</t>
        </is>
      </c>
      <c r="H12" s="61" t="inlineStr">
        <is>
          <t>3 @ RIR1/0</t>
        </is>
      </c>
      <c r="I12" s="61" t="inlineStr">
        <is>
          <t>3 @ RIR1/0</t>
        </is>
      </c>
      <c r="J12" s="61" t="inlineStr">
        <is>
          <t>4 @ RIR1/0</t>
        </is>
      </c>
      <c r="K12" s="62" t="inlineStr">
        <is>
          <t>Extensión de cadera · Rodillas con ligera flexión fija (~10-15°), subir empujando talones sin hiperextender zona lumbar.</t>
        </is>
      </c>
    </row>
    <row r="13" ht="15" customHeight="1" s="52"/>
    <row r="14" ht="19.5" customHeight="1" s="52">
      <c r="A14" s="65" t="inlineStr">
        <is>
          <t>(M) Martes  ·  Push</t>
        </is>
      </c>
      <c r="B14" s="56" t="n"/>
      <c r="C14" s="56" t="n"/>
      <c r="D14" s="56" t="n"/>
      <c r="E14" s="56" t="n"/>
      <c r="F14" s="56" t="n"/>
      <c r="G14" s="56" t="n"/>
      <c r="H14" s="56" t="n"/>
      <c r="I14" s="56" t="n"/>
      <c r="J14" s="56" t="n"/>
      <c r="K14" s="57" t="n"/>
    </row>
    <row r="15" ht="27" customHeight="1" s="52">
      <c r="A15" s="66" t="inlineStr">
        <is>
          <t>Ejercicio</t>
        </is>
      </c>
      <c r="B15" s="66" t="inlineStr">
        <is>
          <t>Objetivo</t>
        </is>
      </c>
      <c r="C15" s="66" t="inlineStr">
        <is>
          <t>Sem 1 (series@RIR)</t>
        </is>
      </c>
      <c r="D15" s="66" t="inlineStr">
        <is>
          <t>Sem 2 (series@RIR)</t>
        </is>
      </c>
      <c r="E15" s="66" t="inlineStr">
        <is>
          <t>Sem 3 (series@RIR)</t>
        </is>
      </c>
      <c r="F15" s="66" t="inlineStr">
        <is>
          <t>Sem 4 (series@RIR)</t>
        </is>
      </c>
      <c r="G15" s="66" t="inlineStr">
        <is>
          <t>Sem 5 (series@RIR)</t>
        </is>
      </c>
      <c r="H15" s="66" t="inlineStr">
        <is>
          <t>Sem 6 (series@RIR)</t>
        </is>
      </c>
      <c r="I15" s="66" t="inlineStr">
        <is>
          <t>Sem 7 (series@RIR)</t>
        </is>
      </c>
      <c r="J15" s="66" t="inlineStr">
        <is>
          <t>Sem 8 (series@RIR)</t>
        </is>
      </c>
      <c r="K15" s="66" t="inlineStr">
        <is>
          <t>Notas</t>
        </is>
      </c>
    </row>
    <row r="16" ht="15" customHeight="1" s="52">
      <c r="A16" s="59" t="inlineStr">
        <is>
          <t>Press inclinado barra (30–40°)</t>
        </is>
      </c>
      <c r="B16" s="59" t="inlineStr">
        <is>
          <t>Pecho</t>
        </is>
      </c>
      <c r="C16" s="61" t="inlineStr">
        <is>
          <t>2 @ RIR1/0</t>
        </is>
      </c>
      <c r="D16" s="61" t="inlineStr">
        <is>
          <t>3 @ RIR1/0</t>
        </is>
      </c>
      <c r="E16" s="61" t="inlineStr">
        <is>
          <t>3 @ RIR1/0</t>
        </is>
      </c>
      <c r="F16" s="61" t="inlineStr">
        <is>
          <t>3 @ RIR1/0</t>
        </is>
      </c>
      <c r="G16" s="61" t="inlineStr">
        <is>
          <t>3 @ RIR1/0</t>
        </is>
      </c>
      <c r="H16" s="61" t="inlineStr">
        <is>
          <t>3 @ RIR1/0</t>
        </is>
      </c>
      <c r="I16" s="61" t="inlineStr">
        <is>
          <t>3 @ RIR1/0</t>
        </is>
      </c>
      <c r="J16" s="61" t="inlineStr">
        <is>
          <t>4 @ RIR1/0</t>
        </is>
      </c>
      <c r="K16" s="62" t="inlineStr">
        <is>
          <t>Prioridad 4 (Haz clavicular) · Agarre ~1.3x ancho hombros y codos a 45–60° (plano escapular) para proteger hombro y codo.</t>
        </is>
      </c>
    </row>
    <row r="17" ht="15.75" customHeight="1" s="52">
      <c r="A17" s="59" t="inlineStr">
        <is>
          <t>Extensión tríceps unil polea</t>
        </is>
      </c>
      <c r="B17" s="59" t="inlineStr">
        <is>
          <t>Tríceps</t>
        </is>
      </c>
      <c r="C17" s="61" t="inlineStr">
        <is>
          <t>2 @ RIR1/0</t>
        </is>
      </c>
      <c r="D17" s="61" t="inlineStr">
        <is>
          <t>2 @ RIR1/0</t>
        </is>
      </c>
      <c r="E17" s="61" t="inlineStr">
        <is>
          <t>2 @ RIR1/0</t>
        </is>
      </c>
      <c r="F17" s="61" t="inlineStr">
        <is>
          <t>2 @ RIR1/0</t>
        </is>
      </c>
      <c r="G17" s="61" t="inlineStr">
        <is>
          <t>3 @ RIR1/0</t>
        </is>
      </c>
      <c r="H17" s="61" t="inlineStr">
        <is>
          <t>3 @ RIR1/0</t>
        </is>
      </c>
      <c r="I17" s="61" t="inlineStr">
        <is>
          <t>3 @ RIR1/0</t>
        </is>
      </c>
      <c r="J17" s="61" t="inlineStr">
        <is>
          <t>3 @ RIR1/0</t>
        </is>
      </c>
      <c r="K17" s="62" t="inlineStr">
        <is>
          <t>Prioridad 2 (Tríceps) · Hombro a 0° pegado al costado (máxima palanca de cabeza larga sin estrés articular en codo).</t>
        </is>
      </c>
    </row>
    <row r="18" ht="15.75" customHeight="1" s="52">
      <c r="A18" s="59" t="inlineStr">
        <is>
          <t>Contractora (Pec Deck)</t>
        </is>
      </c>
      <c r="B18" s="59" t="inlineStr">
        <is>
          <t>Pecho</t>
        </is>
      </c>
      <c r="C18" s="61" t="inlineStr">
        <is>
          <t>2 @ RIR1/0</t>
        </is>
      </c>
      <c r="D18" s="61" t="inlineStr">
        <is>
          <t>2 @ RIR1/0</t>
        </is>
      </c>
      <c r="E18" s="61" t="inlineStr">
        <is>
          <t>2 @ RIR1/0</t>
        </is>
      </c>
      <c r="F18" s="61" t="inlineStr">
        <is>
          <t>3 @ RIR1/0</t>
        </is>
      </c>
      <c r="G18" s="61" t="inlineStr">
        <is>
          <t>3 @ RIR1/0</t>
        </is>
      </c>
      <c r="H18" s="61" t="inlineStr">
        <is>
          <t>3 @ RIR1/0</t>
        </is>
      </c>
      <c r="I18" s="61" t="inlineStr">
        <is>
          <t>3 @ RIR1/0</t>
        </is>
      </c>
      <c r="J18" s="61" t="inlineStr">
        <is>
          <t>3 @ RIR1/0</t>
        </is>
      </c>
      <c r="K18" s="62" t="inlineStr">
        <is>
          <t>Prioridad 4 (Haz clavicular/esternal) · Asiento medio-bajo (manos altura clavícula/esternón sup.) · NO hiperextender húmeros detrás del torso al abrir para no irritar cápsula anterior del hombro.</t>
        </is>
      </c>
    </row>
    <row r="19" ht="15.75" customHeight="1" s="52">
      <c r="A19" s="59" t="inlineStr">
        <is>
          <t>Triceps tras nuca unil polea</t>
        </is>
      </c>
      <c r="B19" s="59" t="inlineStr">
        <is>
          <t>Tríceps</t>
        </is>
      </c>
      <c r="C19" s="61" t="inlineStr">
        <is>
          <t>1 @ RIR0</t>
        </is>
      </c>
      <c r="D19" s="61" t="inlineStr">
        <is>
          <t>1 @ RIR0</t>
        </is>
      </c>
      <c r="E19" s="61" t="inlineStr">
        <is>
          <t>2 @ RIR1/0</t>
        </is>
      </c>
      <c r="F19" s="61" t="inlineStr">
        <is>
          <t>2 @ RIR1/0</t>
        </is>
      </c>
      <c r="G19" s="61" t="inlineStr">
        <is>
          <t>2 @ RIR1/0</t>
        </is>
      </c>
      <c r="H19" s="61" t="inlineStr">
        <is>
          <t>2 @ RIR1/0</t>
        </is>
      </c>
      <c r="I19" s="61" t="inlineStr">
        <is>
          <t>2 @ RIR1/0</t>
        </is>
      </c>
      <c r="J19" s="61" t="inlineStr">
        <is>
          <t>3 @ RIR1/0</t>
        </is>
      </c>
      <c r="K19" s="62" t="inlineStr">
        <is>
          <t>Prioridad 2 (Tríceps en estiramiento) · Dejar que el codo apunte ligeramente hacia fuera (~20-30° plano escapular) para no forzar cápsula del hombro ni tendón olecraniano.</t>
        </is>
      </c>
    </row>
    <row r="20" ht="15.75" customHeight="1" s="52">
      <c r="A20" s="59" t="inlineStr">
        <is>
          <t>Abs colgado (retroversión)</t>
        </is>
      </c>
      <c r="B20" s="59" t="inlineStr">
        <is>
          <t>Abs</t>
        </is>
      </c>
      <c r="C20" s="61" t="inlineStr">
        <is>
          <t>3 @ RIR1/0</t>
        </is>
      </c>
      <c r="D20" s="61" t="inlineStr">
        <is>
          <t>3 @ RIR1/0</t>
        </is>
      </c>
      <c r="E20" s="61" t="inlineStr">
        <is>
          <t>3 @ RIR1/0</t>
        </is>
      </c>
      <c r="F20" s="61" t="inlineStr">
        <is>
          <t>3 @ RIR1/0</t>
        </is>
      </c>
      <c r="G20" s="61" t="inlineStr">
        <is>
          <t>4 @ RIR1/0</t>
        </is>
      </c>
      <c r="H20" s="61" t="inlineStr">
        <is>
          <t>4 @ RIR1/0</t>
        </is>
      </c>
      <c r="I20" s="61" t="inlineStr">
        <is>
          <t>4 @ RIR1/0</t>
        </is>
      </c>
      <c r="J20" s="61" t="inlineStr">
        <is>
          <t>5 @ RIR1/0</t>
        </is>
      </c>
      <c r="K20" s="62" t="inlineStr">
        <is>
          <t>Colgado con depresión escapular (activa dorsal) · Enrollar pelvis hacia costillas (retroversión). Usar straps si el agarre molesta al codo.</t>
        </is>
      </c>
    </row>
    <row r="21" ht="15.75" customHeight="1" s="52">
      <c r="A21" s="59" t="n"/>
      <c r="B21" s="59" t="n"/>
      <c r="C21" s="61" t="n"/>
      <c r="D21" s="61" t="n"/>
      <c r="E21" s="61" t="n"/>
      <c r="F21" s="61" t="n"/>
      <c r="G21" s="61" t="n"/>
      <c r="H21" s="61" t="n"/>
      <c r="I21" s="61" t="n"/>
      <c r="J21" s="61" t="n"/>
      <c r="K21" s="61" t="n"/>
    </row>
    <row r="22" ht="15.75" customHeight="1" s="52">
      <c r="A22" s="69" t="n"/>
      <c r="B22" s="69" t="n"/>
      <c r="C22" s="70" t="n"/>
      <c r="D22" s="70" t="n"/>
      <c r="E22" s="70" t="n"/>
      <c r="F22" s="70" t="n"/>
      <c r="G22" s="70" t="n"/>
      <c r="H22" s="70" t="n"/>
      <c r="I22" s="70" t="n"/>
      <c r="J22" s="70" t="n"/>
      <c r="K22" s="70" t="n"/>
    </row>
    <row r="23" ht="15.75" customHeight="1" s="52">
      <c r="A23" s="65" t="inlineStr">
        <is>
          <t>(X) Miércoles  ·  Pull  ·  + carrera (ver bloque de carrera)</t>
        </is>
      </c>
      <c r="B23" s="56" t="n"/>
      <c r="C23" s="56" t="n"/>
      <c r="D23" s="56" t="n"/>
      <c r="E23" s="56" t="n"/>
      <c r="F23" s="56" t="n"/>
      <c r="G23" s="56" t="n"/>
      <c r="H23" s="56" t="n"/>
      <c r="I23" s="56" t="n"/>
      <c r="J23" s="56" t="n"/>
      <c r="K23" s="57" t="n"/>
    </row>
    <row r="24" ht="27" customHeight="1" s="52">
      <c r="A24" s="66" t="inlineStr">
        <is>
          <t>Ejercicio</t>
        </is>
      </c>
      <c r="B24" s="66" t="inlineStr">
        <is>
          <t>Objetivo</t>
        </is>
      </c>
      <c r="C24" s="66" t="inlineStr">
        <is>
          <t>Sem 1 (series@RIR)</t>
        </is>
      </c>
      <c r="D24" s="66" t="inlineStr">
        <is>
          <t>Sem 2 (series@RIR)</t>
        </is>
      </c>
      <c r="E24" s="66" t="inlineStr">
        <is>
          <t>Sem 3 (series@RIR)</t>
        </is>
      </c>
      <c r="F24" s="66" t="inlineStr">
        <is>
          <t>Sem 4 (series@RIR)</t>
        </is>
      </c>
      <c r="G24" s="66" t="inlineStr">
        <is>
          <t>Sem 5 (series@RIR)</t>
        </is>
      </c>
      <c r="H24" s="66" t="inlineStr">
        <is>
          <t>Sem 6 (series@RIR)</t>
        </is>
      </c>
      <c r="I24" s="66" t="inlineStr">
        <is>
          <t>Sem 7 (series@RIR)</t>
        </is>
      </c>
      <c r="J24" s="66" t="inlineStr">
        <is>
          <t>Sem 8 (series@RIR)</t>
        </is>
      </c>
      <c r="K24" s="66" t="inlineStr">
        <is>
          <t>Notas</t>
        </is>
      </c>
    </row>
    <row r="25" ht="15.75" customHeight="1" s="52">
      <c r="A25" s="59" t="inlineStr">
        <is>
          <t>Jalón ancho plano frontal</t>
        </is>
      </c>
      <c r="B25" s="59" t="inlineStr">
        <is>
          <t>Espalda</t>
        </is>
      </c>
      <c r="C25" s="61" t="inlineStr">
        <is>
          <t>2 @ RIR1/0</t>
        </is>
      </c>
      <c r="D25" s="61" t="inlineStr">
        <is>
          <t>2 @ RIR1/0</t>
        </is>
      </c>
      <c r="E25" s="61" t="inlineStr">
        <is>
          <t>2 @ RIR1/0</t>
        </is>
      </c>
      <c r="F25" s="61" t="inlineStr">
        <is>
          <t>3 @ RIR1/0</t>
        </is>
      </c>
      <c r="G25" s="61" t="inlineStr">
        <is>
          <t>3 @ RIR1/0</t>
        </is>
      </c>
      <c r="H25" s="61" t="inlineStr">
        <is>
          <t>3 @ RIR1/0</t>
        </is>
      </c>
      <c r="I25" s="61" t="inlineStr">
        <is>
          <t>3 @ RIR1/0</t>
        </is>
      </c>
      <c r="J25" s="61" t="inlineStr">
        <is>
          <t>3 @ RIR1/0</t>
        </is>
      </c>
      <c r="K25" s="62" t="inlineStr">
        <is>
          <t>Prioridad 3 (Dorsal Bajo) · 1º fresco · Torso vertical, codos abiertos en plano frontal hasta ~90° · No encoger hombros.</t>
        </is>
      </c>
    </row>
    <row r="26" ht="15.75" customHeight="1" s="52">
      <c r="A26" s="59" t="inlineStr">
        <is>
          <t>Remo gironda abierto</t>
        </is>
      </c>
      <c r="B26" s="59" t="inlineStr">
        <is>
          <t>Espalda</t>
        </is>
      </c>
      <c r="C26" s="61" t="inlineStr">
        <is>
          <t>2 @ RIR1/0</t>
        </is>
      </c>
      <c r="D26" s="61" t="inlineStr">
        <is>
          <t>2 @ RIR1/0</t>
        </is>
      </c>
      <c r="E26" s="61" t="inlineStr">
        <is>
          <t>2 @ RIR1/0</t>
        </is>
      </c>
      <c r="F26" s="61" t="inlineStr">
        <is>
          <t>2 @ RIR1/0</t>
        </is>
      </c>
      <c r="G26" s="61" t="inlineStr">
        <is>
          <t>2 @ RIR1/0</t>
        </is>
      </c>
      <c r="H26" s="61" t="inlineStr">
        <is>
          <t>2 @ RIR1/0</t>
        </is>
      </c>
      <c r="I26" s="61" t="inlineStr">
        <is>
          <t>2 @ RIR1/0</t>
        </is>
      </c>
      <c r="J26" s="61" t="inlineStr">
        <is>
          <t>3 @ RIR1/0</t>
        </is>
      </c>
      <c r="K26" s="62" t="inlineStr">
        <is>
          <t>Plano transversal (Espalda Alta) · Codos abiertos y retracción escapular completa.</t>
        </is>
      </c>
    </row>
    <row r="27" ht="15.75" customHeight="1" s="52">
      <c r="A27" s="59" t="inlineStr">
        <is>
          <t>Laterales sentado</t>
        </is>
      </c>
      <c r="B27" s="59" t="inlineStr">
        <is>
          <t>Hombro lat.</t>
        </is>
      </c>
      <c r="C27" s="61" t="inlineStr">
        <is>
          <t>1 @ RIR0</t>
        </is>
      </c>
      <c r="D27" s="61" t="inlineStr">
        <is>
          <t>1 @ RIR0</t>
        </is>
      </c>
      <c r="E27" s="61" t="inlineStr">
        <is>
          <t>2 @ RIR1/0</t>
        </is>
      </c>
      <c r="F27" s="61" t="inlineStr">
        <is>
          <t>2 @ RIR1/0</t>
        </is>
      </c>
      <c r="G27" s="61" t="inlineStr">
        <is>
          <t>2 @ RIR1/0</t>
        </is>
      </c>
      <c r="H27" s="61" t="inlineStr">
        <is>
          <t>2 @ RIR1/0</t>
        </is>
      </c>
      <c r="I27" s="61" t="inlineStr">
        <is>
          <t>3 @ RIR1/0</t>
        </is>
      </c>
      <c r="J27" s="61" t="inlineStr">
        <is>
          <t>3 @ RIR1/0</t>
        </is>
      </c>
      <c r="K27" s="62" t="inlineStr">
        <is>
          <t>Prioridad 1 (Hombro Lat.) · Sentado en banco a 75–80°, abducir en plano escapular (~30° adelante) sin rotar internamente el hombro.</t>
        </is>
      </c>
    </row>
    <row r="28" ht="15.75" customHeight="1" s="52">
      <c r="A28" s="59" t="inlineStr">
        <is>
          <t>Jalón neutro</t>
        </is>
      </c>
      <c r="B28" s="59" t="inlineStr">
        <is>
          <t>Espalda</t>
        </is>
      </c>
      <c r="C28" s="61" t="inlineStr">
        <is>
          <t>1 @ RIR0</t>
        </is>
      </c>
      <c r="D28" s="61" t="inlineStr">
        <is>
          <t>2 @ RIR1/0</t>
        </is>
      </c>
      <c r="E28" s="61" t="inlineStr">
        <is>
          <t>2 @ RIR1/0</t>
        </is>
      </c>
      <c r="F28" s="61" t="inlineStr">
        <is>
          <t>2 @ RIR1/0</t>
        </is>
      </c>
      <c r="G28" s="61" t="inlineStr">
        <is>
          <t>2 @ RIR1/0</t>
        </is>
      </c>
      <c r="H28" s="61" t="inlineStr">
        <is>
          <t>2 @ RIR1/0</t>
        </is>
      </c>
      <c r="I28" s="61" t="inlineStr">
        <is>
          <t>2 @ RIR1/0</t>
        </is>
      </c>
      <c r="J28" s="61" t="inlineStr">
        <is>
          <t>2 @ RIR1/0</t>
        </is>
      </c>
      <c r="K28" s="62" t="inlineStr">
        <is>
          <t>Plano sagital (Dorsal Sup.) · Agarre neutro ancho hombros, llevar codos a los bolsillos cortando a 90° (protege codo/bíceps).</t>
        </is>
      </c>
    </row>
    <row r="29" ht="15.75" customHeight="1" s="52">
      <c r="A29" s="59" t="inlineStr">
        <is>
          <t xml:space="preserve">Curl martillo scott </t>
        </is>
      </c>
      <c r="B29" s="59" t="inlineStr">
        <is>
          <t>Bíceps</t>
        </is>
      </c>
      <c r="C29" s="61" t="inlineStr">
        <is>
          <t>2 @ RIR1/0</t>
        </is>
      </c>
      <c r="D29" s="61" t="inlineStr">
        <is>
          <t>3 @ RIR1/0</t>
        </is>
      </c>
      <c r="E29" s="61" t="inlineStr">
        <is>
          <t>3 @ RIR1/0</t>
        </is>
      </c>
      <c r="F29" s="61" t="inlineStr">
        <is>
          <t>3 @ RIR1/0</t>
        </is>
      </c>
      <c r="G29" s="61" t="inlineStr">
        <is>
          <t>3 @ RIR1/0</t>
        </is>
      </c>
      <c r="H29" s="61" t="inlineStr">
        <is>
          <t>3 @ RIR1/0</t>
        </is>
      </c>
      <c r="I29" s="61" t="inlineStr">
        <is>
          <t>3 @ RIR1/0</t>
        </is>
      </c>
      <c r="J29" s="61" t="inlineStr">
        <is>
          <t>3 @ RIR1/0</t>
        </is>
      </c>
      <c r="K29" s="62" t="inlineStr">
        <is>
          <t>Prioridad 2 (Bíceps/Braquiorradial) · Agarre neutro (muy amigable para el codo). Bajar en 2-3 s y parar a ~15° de la extensión total para no sobrecargar tendón distal.</t>
        </is>
      </c>
    </row>
    <row r="30" ht="15.75" customHeight="1" s="52">
      <c r="A30" s="59" t="inlineStr">
        <is>
          <t>Posterior polea</t>
        </is>
      </c>
      <c r="B30" s="59" t="inlineStr">
        <is>
          <t>Hombro post.</t>
        </is>
      </c>
      <c r="C30" s="61" t="inlineStr">
        <is>
          <t>1 @ RIR0</t>
        </is>
      </c>
      <c r="D30" s="61" t="inlineStr">
        <is>
          <t>1 @ RIR0</t>
        </is>
      </c>
      <c r="E30" s="61" t="inlineStr">
        <is>
          <t>2 @ RIR1/0</t>
        </is>
      </c>
      <c r="F30" s="61" t="inlineStr">
        <is>
          <t>2 @ RIR1/0</t>
        </is>
      </c>
      <c r="G30" s="61" t="inlineStr">
        <is>
          <t>2 @ RIR1/0</t>
        </is>
      </c>
      <c r="H30" s="61" t="inlineStr">
        <is>
          <t>3 @ RIR1/0</t>
        </is>
      </c>
      <c r="I30" s="61" t="inlineStr">
        <is>
          <t>3 @ RIR1/0</t>
        </is>
      </c>
      <c r="J30" s="61" t="inlineStr">
        <is>
          <t>3 @ RIR1/0</t>
        </is>
      </c>
      <c r="K30" s="62" t="inlineStr">
        <is>
          <t>Salud Hombro / Transversal · Clave para centrar cabeza humeral y compensar presses.</t>
        </is>
      </c>
    </row>
    <row r="31" ht="15" customHeight="1" s="52">
      <c r="A31" s="59" t="inlineStr">
        <is>
          <t>Curl bayesian</t>
        </is>
      </c>
      <c r="B31" s="59" t="inlineStr">
        <is>
          <t>Bíceps</t>
        </is>
      </c>
      <c r="C31" s="61" t="inlineStr">
        <is>
          <t>2 @ RIR1/0</t>
        </is>
      </c>
      <c r="D31" s="61" t="inlineStr">
        <is>
          <t>2 @ RIR1/0</t>
        </is>
      </c>
      <c r="E31" s="61" t="inlineStr">
        <is>
          <t>2 @ RIR1/0</t>
        </is>
      </c>
      <c r="F31" s="61" t="inlineStr">
        <is>
          <t>2 @ RIR1/0</t>
        </is>
      </c>
      <c r="G31" s="61" t="inlineStr">
        <is>
          <t>2 @ RIR1/0</t>
        </is>
      </c>
      <c r="H31" s="61" t="inlineStr">
        <is>
          <t>3 @ RIR1/0</t>
        </is>
      </c>
      <c r="I31" s="61" t="inlineStr">
        <is>
          <t>3 @ RIR1/0</t>
        </is>
      </c>
      <c r="J31" s="61" t="inlineStr">
        <is>
          <t>4 @ RIR1/0</t>
        </is>
      </c>
      <c r="K31" s="62" t="inlineStr">
        <is>
          <t>Prioridad 2 (Bíceps en estiramiento) · Hombro en extensión detrás del torso; no dejar que el hombro rote hacia delante al subir.</t>
        </is>
      </c>
    </row>
    <row r="32" ht="15.75" customHeight="1" s="52"/>
    <row r="33" ht="19.5" customHeight="1" s="52">
      <c r="A33" s="65" t="inlineStr">
        <is>
          <t>(J) Jueves  ·  Rehab + Isquios + Aductores  ·  test de fuerza S2 / S5 / S7</t>
        </is>
      </c>
      <c r="B33" s="56" t="n"/>
      <c r="C33" s="56" t="n"/>
      <c r="D33" s="56" t="n"/>
      <c r="E33" s="56" t="n"/>
      <c r="F33" s="56" t="n"/>
      <c r="G33" s="56" t="n"/>
      <c r="H33" s="56" t="n"/>
      <c r="I33" s="56" t="n"/>
      <c r="J33" s="56" t="n"/>
      <c r="K33" s="57" t="n"/>
    </row>
    <row r="34" ht="27" customHeight="1" s="52">
      <c r="A34" s="66" t="inlineStr">
        <is>
          <t>Ejercicio</t>
        </is>
      </c>
      <c r="B34" s="66" t="inlineStr">
        <is>
          <t>Objetivo</t>
        </is>
      </c>
      <c r="C34" s="66" t="inlineStr">
        <is>
          <t>Sem 1 (series@RIR)</t>
        </is>
      </c>
      <c r="D34" s="66" t="inlineStr">
        <is>
          <t>Sem 2 (series@RIR)</t>
        </is>
      </c>
      <c r="E34" s="66" t="inlineStr">
        <is>
          <t>Sem 3 (series@RIR)</t>
        </is>
      </c>
      <c r="F34" s="66" t="inlineStr">
        <is>
          <t>Sem 4 (series@RIR)</t>
        </is>
      </c>
      <c r="G34" s="66" t="inlineStr">
        <is>
          <t>Sem 5 (series@RIR)</t>
        </is>
      </c>
      <c r="H34" s="66" t="inlineStr">
        <is>
          <t>Sem 6 (series@RIR)</t>
        </is>
      </c>
      <c r="I34" s="66" t="inlineStr">
        <is>
          <t>Sem 7 (series@RIR)</t>
        </is>
      </c>
      <c r="J34" s="66" t="inlineStr">
        <is>
          <t>Sem 8 (series@RIR)</t>
        </is>
      </c>
      <c r="K34" s="66" t="inlineStr">
        <is>
          <t>Notas</t>
        </is>
      </c>
    </row>
    <row r="35" ht="81" customHeight="1" s="52">
      <c r="A35" s="71" t="inlineStr">
        <is>
          <t>TEST fuerza · extensión unilateral en máquina 90→45°</t>
        </is>
      </c>
      <c r="B35" s="71" t="inlineStr">
        <is>
          <t>Test</t>
        </is>
      </c>
      <c r="C35" s="72" t="inlineStr">
        <is>
          <t>—</t>
        </is>
      </c>
      <c r="D35" s="72" t="inlineStr">
        <is>
          <t>2 aprox. +
1 al fallo
por pierna</t>
        </is>
      </c>
      <c r="E35" s="72" t="inlineStr">
        <is>
          <t>—</t>
        </is>
      </c>
      <c r="F35" s="72" t="inlineStr">
        <is>
          <t>—</t>
        </is>
      </c>
      <c r="G35" s="72" t="inlineStr">
        <is>
          <t>2 aprox. +
1 al fallo
por pierna</t>
        </is>
      </c>
      <c r="H35" s="72" t="inlineStr">
        <is>
          <t>—</t>
        </is>
      </c>
      <c r="I35" s="72" t="inlineStr">
        <is>
          <t>2 aprox. +
1 al fallo
por pierna</t>
        </is>
      </c>
      <c r="J35" s="72" t="inlineStr">
        <is>
          <t>Opcional:
rango completo</t>
        </is>
      </c>
      <c r="K35" s="71" t="inlineStr">
        <is>
          <t>Al empezar la sesión, tras la española 2-3×45 s y 2 series de aproximación. Mismo asiento y SIEMPRE rango fijo 90→45° (si el rango cambia, la comparación entre semanas no vale). Misma carga en las dos piernas (la que la I haga unas 10-15 reps), tempo 2-0-2, D primero, 3 min de descanso y luego la I; para si pasa de 3/10. Apunta carga y reps en «Seguimiento rodilla», que calcula la simetría. Objetivo ≥90% antes del balón [LÓGICA; el 90% viene de la vuelta al deporte tras LCA, no está validado en dolor femoropatelar: INCERTIDUMBRE]. Test en rango completo opcional en S8 y no en S7, para que sea la única novedad de su semana.</t>
        </is>
      </c>
    </row>
    <row r="36" ht="43.5" customHeight="1" s="52">
      <c r="A36" s="62" t="inlineStr">
        <is>
          <t>Sentadilla al cajón o desde pines · pesado y lento n.º 2</t>
        </is>
      </c>
      <c r="B36" s="62" t="inlineStr">
        <is>
          <t>Rehab</t>
        </is>
      </c>
      <c r="C36" s="63" t="inlineStr">
        <is>
          <t>3 x12</t>
        </is>
      </c>
      <c r="D36" s="63" t="inlineStr">
        <is>
          <t>3 x10</t>
        </is>
      </c>
      <c r="E36" s="63" t="inlineStr">
        <is>
          <t>3 x10
prof. del lunes</t>
        </is>
      </c>
      <c r="F36" s="63" t="inlineStr">
        <is>
          <t>3 x10
prof. del lunes</t>
        </is>
      </c>
      <c r="G36" s="63" t="inlineStr">
        <is>
          <t>3 x8</t>
        </is>
      </c>
      <c r="H36" s="63" t="inlineStr">
        <is>
          <t>3 x8
prof. del lunes</t>
        </is>
      </c>
      <c r="I36" s="63" t="inlineStr">
        <is>
          <t>3 x8
prof. del lunes</t>
        </is>
      </c>
      <c r="J36" s="63" t="inlineStr">
        <is>
          <t>3 x8
repite S7</t>
        </is>
      </c>
      <c r="K36" s="62" t="inlineStr">
        <is>
          <t>Tras el test (S2/S5/S7), carga por RIR. Tempo 3-1-3, RIR 2. Profundidad = la validada el lunes en la prensa. Postura habitual: un chasquido sin dolor no cambia nada; el apoyo ancho solo si te reduce el DOLOR [LÓGICA]. Antes del rehab (si no hay test): sentadilla española 2-3×45 s.</t>
        </is>
      </c>
    </row>
    <row r="37" ht="30.75" customHeight="1" s="52">
      <c r="A37" s="62" t="inlineStr">
        <is>
          <t>Bulgarian split squat</t>
        </is>
      </c>
      <c r="B37" s="62" t="inlineStr">
        <is>
          <t>Rehab</t>
        </is>
      </c>
      <c r="C37" s="63" t="inlineStr">
        <is>
          <t>2 x12</t>
        </is>
      </c>
      <c r="D37" s="63" t="inlineStr">
        <is>
          <t>2 x10/pierna</t>
        </is>
      </c>
      <c r="E37" s="63" t="inlineStr">
        <is>
          <t>2 x10/pierna</t>
        </is>
      </c>
      <c r="F37" s="63" t="inlineStr">
        <is>
          <t>2 x10/pierna</t>
        </is>
      </c>
      <c r="G37" s="63" t="inlineStr">
        <is>
          <t>2 x8/pierna</t>
        </is>
      </c>
      <c r="H37" s="63" t="inlineStr">
        <is>
          <t>2 x8/pierna</t>
        </is>
      </c>
      <c r="I37" s="63" t="inlineStr">
        <is>
          <t>2 x8/pierna</t>
        </is>
      </c>
      <c r="J37" s="63" t="inlineStr">
        <is>
          <t>2 x8/pierna
repite S7</t>
        </is>
      </c>
      <c r="K37" s="62" t="inlineStr">
        <is>
          <t>D primero: RIR 2 y profundidad validada el lunes. I: RIR 1-2 y rango completo. Tempo 3-1-3. Alterna piernas, 60-90 s entre una y otra.</t>
        </is>
      </c>
    </row>
    <row r="38" ht="30.75" customHeight="1" s="52">
      <c r="A38" s="62" t="inlineStr">
        <is>
          <t>Abducción de pie unilateral (máquina)</t>
        </is>
      </c>
      <c r="B38" s="62" t="inlineStr">
        <is>
          <t>Rehab (cadera)</t>
        </is>
      </c>
      <c r="C38" s="63" t="inlineStr">
        <is>
          <t>2 x15–20</t>
        </is>
      </c>
      <c r="D38" s="63" t="inlineStr">
        <is>
          <t>3 x10-15/pierna
@RIR1-2</t>
        </is>
      </c>
      <c r="E38" s="63" t="inlineStr">
        <is>
          <t>3 x10-15/pierna
@RIR1-2</t>
        </is>
      </c>
      <c r="F38" s="63" t="inlineStr">
        <is>
          <t>3 x10-15/pierna
@RIR1-2</t>
        </is>
      </c>
      <c r="G38" s="63" t="inlineStr">
        <is>
          <t>3 x10-15/pierna
@RIR1-2</t>
        </is>
      </c>
      <c r="H38" s="63" t="inlineStr">
        <is>
          <t>3 x10-15/pierna
@RIR1-2</t>
        </is>
      </c>
      <c r="I38" s="63" t="inlineStr">
        <is>
          <t>3 x10-15/pierna
@RIR1-2</t>
        </is>
      </c>
      <c r="J38" s="63" t="inlineStr">
        <is>
          <t>3 x10-15/pierna
@RIR1-2</t>
        </is>
      </c>
      <c r="K38" s="62" t="inlineStr">
        <is>
          <t>Misma máquina que el lunes; empieza por la D. Va DESPUÉS de la búlgara, para no fatigar el glúteo medio antes del trabajo a una pierna [LÓGICA]. Lunes + jueves = 72-96 h entre sesiones de cadera.</t>
        </is>
      </c>
    </row>
    <row r="39" ht="18" customHeight="1" s="52">
      <c r="A39" s="62" t="inlineStr">
        <is>
          <t>Touchdown squat</t>
        </is>
      </c>
      <c r="B39" s="62" t="inlineStr">
        <is>
          <t>Rehab</t>
        </is>
      </c>
      <c r="C39" s="63" t="inlineStr">
        <is>
          <t>2 x15–20</t>
        </is>
      </c>
      <c r="D39" s="63" t="inlineStr">
        <is>
          <t>—</t>
        </is>
      </c>
      <c r="E39" s="63" t="inlineStr">
        <is>
          <t>—</t>
        </is>
      </c>
      <c r="F39" s="63" t="inlineStr">
        <is>
          <t>—</t>
        </is>
      </c>
      <c r="G39" s="63" t="inlineStr">
        <is>
          <t>—</t>
        </is>
      </c>
      <c r="H39" s="63" t="inlineStr">
        <is>
          <t>—</t>
        </is>
      </c>
      <c r="I39" s="63" t="inlineStr">
        <is>
          <t>—</t>
        </is>
      </c>
      <c r="J39" s="63" t="inlineStr">
        <is>
          <t>—</t>
        </is>
      </c>
      <c r="K39" s="63" t="inlineStr">
        <is>
          <t>Sale del jueves desde S2: va el lunes, antes de la prensa [LÓGICA].</t>
        </is>
      </c>
    </row>
    <row r="40" ht="15.75" customHeight="1" s="52">
      <c r="A40" s="59" t="inlineStr">
        <is>
          <t>Isquios sentado</t>
        </is>
      </c>
      <c r="B40" s="59" t="inlineStr">
        <is>
          <t>Isquios</t>
        </is>
      </c>
      <c r="C40" s="61" t="inlineStr">
        <is>
          <t>3 @ RIR1/0</t>
        </is>
      </c>
      <c r="D40" s="61" t="inlineStr">
        <is>
          <t>4 @ RIR1/0</t>
        </is>
      </c>
      <c r="E40" s="61" t="inlineStr">
        <is>
          <t>4 @ RIR1/0</t>
        </is>
      </c>
      <c r="F40" s="61" t="inlineStr">
        <is>
          <t>4 @ RIR1/0</t>
        </is>
      </c>
      <c r="G40" s="61" t="inlineStr">
        <is>
          <t>4 @ RIR1/0</t>
        </is>
      </c>
      <c r="H40" s="61" t="inlineStr">
        <is>
          <t>5 @ RIR1/0</t>
        </is>
      </c>
      <c r="I40" s="61" t="inlineStr">
        <is>
          <t>5 @ RIR1/0</t>
        </is>
      </c>
      <c r="J40" s="61" t="inlineStr">
        <is>
          <t>5 @ RIR1/0</t>
        </is>
      </c>
      <c r="K40" s="62" t="inlineStr">
        <is>
          <t>Isquios en estiramiento máximo (cadera a 90°) · Controlar fase excéntrica.</t>
        </is>
      </c>
    </row>
    <row r="41" ht="15.75" customHeight="1" s="52">
      <c r="A41" s="59" t="inlineStr">
        <is>
          <t>Aductores</t>
        </is>
      </c>
      <c r="B41" s="59" t="inlineStr">
        <is>
          <t>Aductores</t>
        </is>
      </c>
      <c r="C41" s="61" t="inlineStr">
        <is>
          <t>2 @ RIR1/0</t>
        </is>
      </c>
      <c r="D41" s="61" t="inlineStr">
        <is>
          <t>2 @ RIR1/0</t>
        </is>
      </c>
      <c r="E41" s="61" t="inlineStr">
        <is>
          <t>2 @ RIR1/0</t>
        </is>
      </c>
      <c r="F41" s="61" t="inlineStr">
        <is>
          <t>2 @ RIR1/0</t>
        </is>
      </c>
      <c r="G41" s="61" t="inlineStr">
        <is>
          <t>3 @ RIR1/0</t>
        </is>
      </c>
      <c r="H41" s="61" t="inlineStr">
        <is>
          <t>3 @ RIR1/0</t>
        </is>
      </c>
      <c r="I41" s="61" t="inlineStr">
        <is>
          <t>3 @ RIR1/0</t>
        </is>
      </c>
      <c r="J41" s="61" t="inlineStr">
        <is>
          <t>3 @ RIR1/0</t>
        </is>
      </c>
      <c r="K41" s="62" t="inlineStr">
        <is>
          <t>Plano transversal/frontal · Pausa de 1 s en apertura máxima sin dolor inguinal/rodilla.</t>
        </is>
      </c>
    </row>
    <row r="42" ht="15.75" customHeight="1" s="52">
      <c r="A42" s="59" t="inlineStr">
        <is>
          <t>Gemelos prensa</t>
        </is>
      </c>
      <c r="B42" s="59" t="inlineStr">
        <is>
          <t>Gemelos</t>
        </is>
      </c>
      <c r="C42" s="61" t="inlineStr">
        <is>
          <t>2 @ RIR1/0</t>
        </is>
      </c>
      <c r="D42" s="61" t="inlineStr">
        <is>
          <t>3 @ RIR1/0</t>
        </is>
      </c>
      <c r="E42" s="61" t="inlineStr">
        <is>
          <t>3 @ RIR1/0</t>
        </is>
      </c>
      <c r="F42" s="61" t="inlineStr">
        <is>
          <t>3 @ RIR1/0</t>
        </is>
      </c>
      <c r="G42" s="61" t="inlineStr">
        <is>
          <t>4 @ RIR1/0</t>
        </is>
      </c>
      <c r="H42" s="61" t="inlineStr">
        <is>
          <t>4 @ RIR1/0</t>
        </is>
      </c>
      <c r="I42" s="61" t="inlineStr">
        <is>
          <t>4 @ RIR1/0</t>
        </is>
      </c>
      <c r="J42" s="61" t="inlineStr">
        <is>
          <t>5 @ RIR1/0</t>
        </is>
      </c>
      <c r="K42" s="62" t="inlineStr">
        <is>
          <t>Prensa con pies abajo · Pausa estricta de 2 s en máximo estiramiento abajo (sin rebote elástico).</t>
        </is>
      </c>
    </row>
    <row r="43" ht="15.75" customHeight="1" s="52"/>
    <row r="44" ht="19.5" customHeight="1" s="52">
      <c r="A44" s="65" t="inlineStr">
        <is>
          <t>(V) Viernes  ·  Torso</t>
        </is>
      </c>
      <c r="B44" s="56" t="n"/>
      <c r="C44" s="56" t="n"/>
      <c r="D44" s="56" t="n"/>
      <c r="E44" s="56" t="n"/>
      <c r="F44" s="56" t="n"/>
      <c r="G44" s="56" t="n"/>
      <c r="H44" s="56" t="n"/>
      <c r="I44" s="56" t="n"/>
      <c r="J44" s="56" t="n"/>
      <c r="K44" s="57" t="n"/>
    </row>
    <row r="45" ht="27" customHeight="1" s="52">
      <c r="A45" s="66" t="inlineStr">
        <is>
          <t>Ejercicio</t>
        </is>
      </c>
      <c r="B45" s="66" t="inlineStr">
        <is>
          <t>Objetivo</t>
        </is>
      </c>
      <c r="C45" s="66" t="inlineStr">
        <is>
          <t>Sem 1 (series@RIR)</t>
        </is>
      </c>
      <c r="D45" s="66" t="inlineStr">
        <is>
          <t>Sem 2 (series@RIR)</t>
        </is>
      </c>
      <c r="E45" s="66" t="inlineStr">
        <is>
          <t>Sem 3 (series@RIR)</t>
        </is>
      </c>
      <c r="F45" s="66" t="inlineStr">
        <is>
          <t>Sem 4 (series@RIR)</t>
        </is>
      </c>
      <c r="G45" s="66" t="inlineStr">
        <is>
          <t>Sem 5 (series@RIR)</t>
        </is>
      </c>
      <c r="H45" s="66" t="inlineStr">
        <is>
          <t>Sem 6 (series@RIR)</t>
        </is>
      </c>
      <c r="I45" s="66" t="inlineStr">
        <is>
          <t>Sem 7 (series@RIR)</t>
        </is>
      </c>
      <c r="J45" s="66" t="inlineStr">
        <is>
          <t>Sem 8 (series@RIR)</t>
        </is>
      </c>
      <c r="K45" s="66" t="inlineStr">
        <is>
          <t>Notas</t>
        </is>
      </c>
    </row>
    <row r="46" ht="15.75" customHeight="1" s="52">
      <c r="A46" s="59" t="inlineStr">
        <is>
          <t>Triceps conc polea (-15°)</t>
        </is>
      </c>
      <c r="B46" s="59" t="inlineStr">
        <is>
          <t>Tríceps</t>
        </is>
      </c>
      <c r="C46" s="61" t="inlineStr">
        <is>
          <t>1 @ RIR0</t>
        </is>
      </c>
      <c r="D46" s="61" t="inlineStr">
        <is>
          <t>1 @ RIR0</t>
        </is>
      </c>
      <c r="E46" s="61" t="inlineStr">
        <is>
          <t>1 @ RIR0</t>
        </is>
      </c>
      <c r="F46" s="61" t="inlineStr">
        <is>
          <t>1 @ RIR0</t>
        </is>
      </c>
      <c r="G46" s="61" t="inlineStr">
        <is>
          <t>1 @ RIR0</t>
        </is>
      </c>
      <c r="H46" s="61" t="inlineStr">
        <is>
          <t>1 @ RIR0</t>
        </is>
      </c>
      <c r="I46" s="61" t="inlineStr">
        <is>
          <t>1 @ RIR0</t>
        </is>
      </c>
      <c r="J46" s="61" t="inlineStr">
        <is>
          <t>1 @ RIR0</t>
        </is>
      </c>
      <c r="K46" s="62" t="inlineStr">
        <is>
          <t>Prioridad 2 + Potenciación de codo · Hombro a -15° (extensión): máximo acortamiento de cabeza larga con torque nulo en flexión máxima de codo (calienta tendón para el francés).</t>
        </is>
      </c>
    </row>
    <row r="47" ht="15.75" customHeight="1" s="52">
      <c r="A47" s="59" t="inlineStr">
        <is>
          <t>Laterales polea</t>
        </is>
      </c>
      <c r="B47" s="59" t="inlineStr">
        <is>
          <t>Hombro lat.</t>
        </is>
      </c>
      <c r="C47" s="61" t="inlineStr">
        <is>
          <t>2 @ RIR1/0</t>
        </is>
      </c>
      <c r="D47" s="61" t="inlineStr">
        <is>
          <t>2 @ RIR1/0</t>
        </is>
      </c>
      <c r="E47" s="61" t="inlineStr">
        <is>
          <t>2 @ RIR1/0</t>
        </is>
      </c>
      <c r="F47" s="61" t="inlineStr">
        <is>
          <t>2 @ RIR1/0</t>
        </is>
      </c>
      <c r="G47" s="61" t="inlineStr">
        <is>
          <t>2 @ RIR1/0</t>
        </is>
      </c>
      <c r="H47" s="61" t="inlineStr">
        <is>
          <t>2 @ RIR1/0</t>
        </is>
      </c>
      <c r="I47" s="61" t="inlineStr">
        <is>
          <t>2 @ RIR1/0</t>
        </is>
      </c>
      <c r="J47" s="61" t="inlineStr">
        <is>
          <t>2 @ RIR1/0</t>
        </is>
      </c>
      <c r="K47" s="62" t="inlineStr">
        <is>
          <t>Prioridad 1 (Hombro Lat.) · Polea a altura de muñeca/muslo, abducción en plano escapular.</t>
        </is>
      </c>
    </row>
    <row r="48" ht="15.75" customHeight="1" s="52">
      <c r="A48" s="59" t="inlineStr">
        <is>
          <t>Press francés manc (banco plano)</t>
        </is>
      </c>
      <c r="B48" s="59" t="inlineStr">
        <is>
          <t>Tríceps</t>
        </is>
      </c>
      <c r="C48" s="61" t="inlineStr">
        <is>
          <t>2 @ RIR1/0</t>
        </is>
      </c>
      <c r="D48" s="61" t="inlineStr">
        <is>
          <t>2 @ RIR1/0</t>
        </is>
      </c>
      <c r="E48" s="61" t="inlineStr">
        <is>
          <t>2 @ RIR1/0</t>
        </is>
      </c>
      <c r="F48" s="61" t="inlineStr">
        <is>
          <t>2 @ RIR1/0</t>
        </is>
      </c>
      <c r="G48" s="61" t="inlineStr">
        <is>
          <t>2 @ RIR1/0</t>
        </is>
      </c>
      <c r="H48" s="61" t="inlineStr">
        <is>
          <t>2 @ RIR1/0</t>
        </is>
      </c>
      <c r="I48" s="61" t="inlineStr">
        <is>
          <t>3 @ RIR1/0</t>
        </is>
      </c>
      <c r="J48" s="61" t="inlineStr">
        <is>
          <t>3 @ RIR1/0</t>
        </is>
      </c>
      <c r="K48" s="62" t="inlineStr">
        <is>
          <t>Prioridad 2 (Tríceps) · Agarre neutro (martillo) y brazos inclinados a ~100° hacia la cabeza: quita cizalla en epitróclea/olécranon y mantiene tensión constante.</t>
        </is>
      </c>
    </row>
    <row r="49" ht="15.75" customHeight="1" s="52">
      <c r="A49" s="59" t="inlineStr">
        <is>
          <t>Curl biceps barra z</t>
        </is>
      </c>
      <c r="B49" s="59" t="inlineStr">
        <is>
          <t>Bíceps</t>
        </is>
      </c>
      <c r="C49" s="61" t="inlineStr">
        <is>
          <t>2 @ RIR1/0</t>
        </is>
      </c>
      <c r="D49" s="61" t="inlineStr">
        <is>
          <t>2 @ RIR1/0</t>
        </is>
      </c>
      <c r="E49" s="61" t="inlineStr">
        <is>
          <t>2 @ RIR1/0</t>
        </is>
      </c>
      <c r="F49" s="61" t="inlineStr">
        <is>
          <t>3 @ RIR1/0</t>
        </is>
      </c>
      <c r="G49" s="61" t="inlineStr">
        <is>
          <t>3 @ RIR1/0</t>
        </is>
      </c>
      <c r="H49" s="61" t="inlineStr">
        <is>
          <t>3 @ RIR1/0</t>
        </is>
      </c>
      <c r="I49" s="61" t="inlineStr">
        <is>
          <t>3 @ RIR1/0</t>
        </is>
      </c>
      <c r="J49" s="61" t="inlineStr">
        <is>
          <t>3 @ RIR1/0</t>
        </is>
      </c>
      <c r="K49" s="62" t="inlineStr">
        <is>
          <t>Prioridad 2 (Bíceps rango medio) · Usar el agarre de la barra Z (ancho o estrecho) que resulte 100% libre de molestia en muñeca y codo.</t>
        </is>
      </c>
    </row>
    <row r="50" ht="15.75" customHeight="1" s="52">
      <c r="A50" s="59" t="inlineStr">
        <is>
          <t>Press máquina neutro ascendente</t>
        </is>
      </c>
      <c r="B50" s="59" t="inlineStr">
        <is>
          <t>Pecho</t>
        </is>
      </c>
      <c r="C50" s="61" t="inlineStr">
        <is>
          <t>2 @ RIR1/0</t>
        </is>
      </c>
      <c r="D50" s="61" t="inlineStr">
        <is>
          <t>2 @ RIR1/0</t>
        </is>
      </c>
      <c r="E50" s="61" t="inlineStr">
        <is>
          <t>2 @ RIR1/0</t>
        </is>
      </c>
      <c r="F50" s="61" t="inlineStr">
        <is>
          <t>2 @ RIR1/0</t>
        </is>
      </c>
      <c r="G50" s="61" t="inlineStr">
        <is>
          <t>2 @ RIR1/0</t>
        </is>
      </c>
      <c r="H50" s="61" t="inlineStr">
        <is>
          <t>3 @ RIR1/0</t>
        </is>
      </c>
      <c r="I50" s="61" t="inlineStr">
        <is>
          <t>3 @ RIR1/0</t>
        </is>
      </c>
      <c r="J50" s="61" t="inlineStr">
        <is>
          <t>3 @ RIR1/0</t>
        </is>
      </c>
      <c r="K50" s="62" t="inlineStr">
        <is>
          <t>Prioridad 4 (Haz clavicular) · 10/10 tras brazos: el agarre neutro y la trayectoria convergente ascendente aíslan el haz clavicular sin estrés en hombro ni codo.</t>
        </is>
      </c>
    </row>
    <row r="51" ht="15.75" customHeight="1" s="52">
      <c r="A51" s="59" t="inlineStr">
        <is>
          <t>Dominada neutra dorsal</t>
        </is>
      </c>
      <c r="B51" s="59" t="inlineStr">
        <is>
          <t>Espalda</t>
        </is>
      </c>
      <c r="C51" s="61" t="inlineStr">
        <is>
          <t>1 @ RIR0</t>
        </is>
      </c>
      <c r="D51" s="61" t="inlineStr">
        <is>
          <t>1 @ RIR0</t>
        </is>
      </c>
      <c r="E51" s="61" t="inlineStr">
        <is>
          <t>1 @ RIR0</t>
        </is>
      </c>
      <c r="F51" s="61" t="inlineStr">
        <is>
          <t>1 @ RIR0</t>
        </is>
      </c>
      <c r="G51" s="61" t="inlineStr">
        <is>
          <t>1 @ RIR0</t>
        </is>
      </c>
      <c r="H51" s="61" t="inlineStr">
        <is>
          <t>2 @ RIR1/0</t>
        </is>
      </c>
      <c r="I51" s="61" t="inlineStr">
        <is>
          <t>2 @ RIR1/0</t>
        </is>
      </c>
      <c r="J51" s="61" t="inlineStr">
        <is>
          <t>2 @ RIR1/0</t>
        </is>
      </c>
      <c r="K51" s="62" t="inlineStr">
        <is>
          <t>Plano sagital (Dorsal Sup.) · Usar STRAPS obligatoriamente para anular fatiga previa de bíceps y proteger codos.</t>
        </is>
      </c>
    </row>
    <row r="52" ht="15.75" customHeight="1" s="52">
      <c r="A52" s="59" t="inlineStr">
        <is>
          <t>Remo máquina (pecho apoyado 30°)</t>
        </is>
      </c>
      <c r="B52" s="59" t="inlineStr">
        <is>
          <t>Espalda</t>
        </is>
      </c>
      <c r="C52" s="61" t="inlineStr">
        <is>
          <t>2 @ RIR1/0</t>
        </is>
      </c>
      <c r="D52" s="61" t="inlineStr">
        <is>
          <t>2 @ RIR1/0</t>
        </is>
      </c>
      <c r="E52" s="61" t="inlineStr">
        <is>
          <t>2 @ RIR1/0</t>
        </is>
      </c>
      <c r="F52" s="61" t="inlineStr">
        <is>
          <t>2 @ RIR1/0</t>
        </is>
      </c>
      <c r="G52" s="61" t="inlineStr">
        <is>
          <t>2 @ RIR1/0</t>
        </is>
      </c>
      <c r="H52" s="61" t="inlineStr">
        <is>
          <t>2 @ RIR1/0</t>
        </is>
      </c>
      <c r="I52" s="61" t="inlineStr">
        <is>
          <t>2 @ RIR1/0</t>
        </is>
      </c>
      <c r="J52" s="61" t="inlineStr">
        <is>
          <t>2 @ RIR1/0</t>
        </is>
      </c>
      <c r="K52" s="62" t="inlineStr">
        <is>
          <t>Plano sagital/híbrido (Dorsal Sup.) · Usar STRAPS, codos a ~30° hasta línea del torso.</t>
        </is>
      </c>
    </row>
    <row r="53" ht="15" customHeight="1" s="52">
      <c r="A53" s="59" t="inlineStr">
        <is>
          <t>Aducción unil. polea alta (Pull-in)</t>
        </is>
      </c>
      <c r="B53" s="59" t="inlineStr">
        <is>
          <t>Espalda</t>
        </is>
      </c>
      <c r="C53" s="61" t="inlineStr">
        <is>
          <t>2 @ RIR1/0</t>
        </is>
      </c>
      <c r="D53" s="61" t="inlineStr">
        <is>
          <t>2 @ RIR1/0</t>
        </is>
      </c>
      <c r="E53" s="61" t="inlineStr">
        <is>
          <t>2 @ RIR1/0</t>
        </is>
      </c>
      <c r="F53" s="61" t="inlineStr">
        <is>
          <t>2 @ RIR1/0</t>
        </is>
      </c>
      <c r="G53" s="61" t="inlineStr">
        <is>
          <t>2 @ RIR1/0</t>
        </is>
      </c>
      <c r="H53" s="61" t="inlineStr">
        <is>
          <t>2 @ RIR1/0</t>
        </is>
      </c>
      <c r="I53" s="61" t="inlineStr">
        <is>
          <t>2 @ RIR1/0</t>
        </is>
      </c>
      <c r="J53" s="61" t="inlineStr">
        <is>
          <t>2 @ RIR1/0</t>
        </is>
      </c>
      <c r="K53" s="62" t="inlineStr">
        <is>
          <t>Prioridad 3 (Dorsal Bajo) · De lado a la polea (con tobillera en muñeca o codo semirrígido) para aislar haz inferior sin usar bíceps ni codo · Sem 1-2 a RIR 1-2.</t>
        </is>
      </c>
    </row>
    <row r="54" ht="15.75" customHeight="1" s="52"/>
    <row r="55" ht="19.5" customHeight="1" s="52">
      <c r="A55" s="65" t="inlineStr">
        <is>
          <t>(S) Sábado  ·  casa, sin máquinas ni poleas  ·  desde S2, sin pierna (el domingo: carrera)</t>
        </is>
      </c>
      <c r="B55" s="56" t="n"/>
      <c r="C55" s="56" t="n"/>
      <c r="D55" s="56" t="n"/>
      <c r="E55" s="56" t="n"/>
      <c r="F55" s="56" t="n"/>
      <c r="G55" s="56" t="n"/>
      <c r="H55" s="56" t="n"/>
      <c r="I55" s="56" t="n"/>
      <c r="J55" s="56" t="n"/>
      <c r="K55" s="57" t="n"/>
    </row>
    <row r="56" ht="27" customHeight="1" s="52">
      <c r="A56" s="66" t="inlineStr">
        <is>
          <t>Ejercicio</t>
        </is>
      </c>
      <c r="B56" s="66" t="inlineStr">
        <is>
          <t>Objetivo</t>
        </is>
      </c>
      <c r="C56" s="66" t="inlineStr">
        <is>
          <t>Sem 1 (series@RIR)</t>
        </is>
      </c>
      <c r="D56" s="66" t="inlineStr">
        <is>
          <t>Sem 2 (series@RIR)</t>
        </is>
      </c>
      <c r="E56" s="66" t="inlineStr">
        <is>
          <t>Sem 3 (series@RIR)</t>
        </is>
      </c>
      <c r="F56" s="66" t="inlineStr">
        <is>
          <t>Sem 4 (series@RIR)</t>
        </is>
      </c>
      <c r="G56" s="66" t="inlineStr">
        <is>
          <t>Sem 5 (series@RIR)</t>
        </is>
      </c>
      <c r="H56" s="66" t="inlineStr">
        <is>
          <t>Sem 6 (series@RIR)</t>
        </is>
      </c>
      <c r="I56" s="66" t="inlineStr">
        <is>
          <t>Sem 7 (series@RIR)</t>
        </is>
      </c>
      <c r="J56" s="66" t="inlineStr">
        <is>
          <t>Sem 8 (series@RIR)</t>
        </is>
      </c>
      <c r="K56" s="66" t="inlineStr">
        <is>
          <t>Notas</t>
        </is>
      </c>
    </row>
    <row r="57" ht="30.75" customHeight="1" s="52">
      <c r="A57" s="62" t="inlineStr">
        <is>
          <t>Abducción unilateral</t>
        </is>
      </c>
      <c r="B57" s="62" t="inlineStr">
        <is>
          <t>Rehab (cadera)</t>
        </is>
      </c>
      <c r="C57" s="63" t="inlineStr">
        <is>
          <t>2 x15–20</t>
        </is>
      </c>
      <c r="D57" s="63" t="inlineStr">
        <is>
          <t>—</t>
        </is>
      </c>
      <c r="E57" s="63" t="inlineStr">
        <is>
          <t>—</t>
        </is>
      </c>
      <c r="F57" s="63" t="inlineStr">
        <is>
          <t>—</t>
        </is>
      </c>
      <c r="G57" s="63" t="inlineStr">
        <is>
          <t>—</t>
        </is>
      </c>
      <c r="H57" s="63" t="inlineStr">
        <is>
          <t>—</t>
        </is>
      </c>
      <c r="I57" s="63" t="inlineStr">
        <is>
          <t>—</t>
        </is>
      </c>
      <c r="J57" s="63" t="inlineStr">
        <is>
          <t>—</t>
        </is>
      </c>
      <c r="K57" s="62" t="inlineStr">
        <is>
          <t>Sale del sábado desde S2: la abducción va el lunes y el jueves en máquina; la pierna se concentra en 2 días [LÓGICA].</t>
        </is>
      </c>
    </row>
    <row r="58" ht="18" customHeight="1" s="52">
      <c r="A58" s="62" t="inlineStr">
        <is>
          <t>Touchdown squat</t>
        </is>
      </c>
      <c r="B58" s="62" t="inlineStr">
        <is>
          <t>Rehab</t>
        </is>
      </c>
      <c r="C58" s="63" t="inlineStr">
        <is>
          <t>2 x15–20</t>
        </is>
      </c>
      <c r="D58" s="63" t="inlineStr">
        <is>
          <t>—</t>
        </is>
      </c>
      <c r="E58" s="63" t="inlineStr">
        <is>
          <t>—</t>
        </is>
      </c>
      <c r="F58" s="63" t="inlineStr">
        <is>
          <t>—</t>
        </is>
      </c>
      <c r="G58" s="63" t="inlineStr">
        <is>
          <t>—</t>
        </is>
      </c>
      <c r="H58" s="63" t="inlineStr">
        <is>
          <t>—</t>
        </is>
      </c>
      <c r="I58" s="63" t="inlineStr">
        <is>
          <t>—</t>
        </is>
      </c>
      <c r="J58" s="63" t="inlineStr">
        <is>
          <t>—</t>
        </is>
      </c>
      <c r="K58" s="63" t="inlineStr">
        <is>
          <t>Sale del sábado desde S2: va el lunes, antes de la prensa [LÓGICA].</t>
        </is>
      </c>
    </row>
    <row r="59" ht="18" customHeight="1" s="52">
      <c r="A59" s="62" t="inlineStr">
        <is>
          <t>Bulgarian split squat</t>
        </is>
      </c>
      <c r="B59" s="62" t="inlineStr">
        <is>
          <t>Rehab</t>
        </is>
      </c>
      <c r="C59" s="63" t="inlineStr">
        <is>
          <t>2 x12</t>
        </is>
      </c>
      <c r="D59" s="63" t="inlineStr">
        <is>
          <t>—</t>
        </is>
      </c>
      <c r="E59" s="63" t="inlineStr">
        <is>
          <t>—</t>
        </is>
      </c>
      <c r="F59" s="63" t="inlineStr">
        <is>
          <t>—</t>
        </is>
      </c>
      <c r="G59" s="63" t="inlineStr">
        <is>
          <t>—</t>
        </is>
      </c>
      <c r="H59" s="63" t="inlineStr">
        <is>
          <t>—</t>
        </is>
      </c>
      <c r="I59" s="63" t="inlineStr">
        <is>
          <t>—</t>
        </is>
      </c>
      <c r="J59" s="63" t="inlineStr">
        <is>
          <t>—</t>
        </is>
      </c>
      <c r="K59" s="62" t="inlineStr">
        <is>
          <t>Sale del sábado desde S2: la pierna se concentra en el lunes y el jueves [LÓGICA].</t>
        </is>
      </c>
    </row>
    <row r="60" ht="15.75" customHeight="1" s="52">
      <c r="A60" s="59" t="inlineStr">
        <is>
          <t>Abs wesley banco</t>
        </is>
      </c>
      <c r="B60" s="59" t="inlineStr">
        <is>
          <t>Abs</t>
        </is>
      </c>
      <c r="C60" s="61" t="inlineStr">
        <is>
          <t>2 @ RIR1/0</t>
        </is>
      </c>
      <c r="D60" s="61" t="inlineStr">
        <is>
          <t>2 @ RIR1/0</t>
        </is>
      </c>
      <c r="E60" s="61" t="inlineStr">
        <is>
          <t>3 @ RIR1/0</t>
        </is>
      </c>
      <c r="F60" s="61" t="inlineStr">
        <is>
          <t>3 @ RIR1/0</t>
        </is>
      </c>
      <c r="G60" s="61" t="inlineStr">
        <is>
          <t>3 @ RIR1/0</t>
        </is>
      </c>
      <c r="H60" s="61" t="inlineStr">
        <is>
          <t>3 @ RIR1/0</t>
        </is>
      </c>
      <c r="I60" s="61" t="inlineStr">
        <is>
          <t>4 @ RIR1/0</t>
        </is>
      </c>
      <c r="J60" s="61" t="inlineStr">
        <is>
          <t>4 @ RIR1/0</t>
        </is>
      </c>
      <c r="K60" s="61" t="n"/>
    </row>
    <row r="61" ht="30.75" customHeight="1" s="52">
      <c r="A61" s="59" t="inlineStr">
        <is>
          <t>Elevación lateral en prono «T» (mancuernas, banco)</t>
        </is>
      </c>
      <c r="B61" s="59" t="inlineStr">
        <is>
          <t>Hombro (correctivo)</t>
        </is>
      </c>
      <c r="C61" s="61" t="inlineStr">
        <is>
          <t>-</t>
        </is>
      </c>
      <c r="D61" s="61" t="inlineStr">
        <is>
          <t>2-3 x10-15
5 s arriba</t>
        </is>
      </c>
      <c r="E61" s="61" t="inlineStr">
        <is>
          <t>2-3 x10-15
5 s arriba</t>
        </is>
      </c>
      <c r="F61" s="61" t="inlineStr">
        <is>
          <t>2-3 x10-15
5 s arriba</t>
        </is>
      </c>
      <c r="G61" s="61" t="inlineStr">
        <is>
          <t>2-3 x10-15
5 s arriba</t>
        </is>
      </c>
      <c r="H61" s="61" t="inlineStr">
        <is>
          <t>2-3 x10-15
5 s arriba</t>
        </is>
      </c>
      <c r="I61" s="61" t="inlineStr">
        <is>
          <t>2-3 x10-15
5 s arriba</t>
        </is>
      </c>
      <c r="J61" s="61" t="inlineStr">
        <is>
          <t>2-3 x10-15
5 s arriba</t>
        </is>
      </c>
      <c r="K61" s="61" t="inlineStr">
        <is>
          <t>Postura: trapecio medio e inferior y deltoides posterior. Boca abajo en el banco, pulgar arriba, muy poco peso. RIR 3-4; no cuenta como serie de hipertrofia. Libro, p. 290.</t>
        </is>
      </c>
    </row>
    <row r="62" ht="30.75" customHeight="1" s="52">
      <c r="A62" s="59" t="inlineStr">
        <is>
          <t>Rotación externa con banda «W»</t>
        </is>
      </c>
      <c r="B62" s="59" t="inlineStr">
        <is>
          <t>Hombro (correctivo)</t>
        </is>
      </c>
      <c r="C62" s="61" t="inlineStr">
        <is>
          <t>—</t>
        </is>
      </c>
      <c r="D62" s="61" t="inlineStr">
        <is>
          <t>2-3 x15-20
5-10 s fuera</t>
        </is>
      </c>
      <c r="E62" s="61" t="inlineStr">
        <is>
          <t>2-3 x15-20
5-10 s fuera</t>
        </is>
      </c>
      <c r="F62" s="61" t="inlineStr">
        <is>
          <t>2-3 x15-20
5-10 s fuera</t>
        </is>
      </c>
      <c r="G62" s="61" t="inlineStr">
        <is>
          <t>2-3 x15-20
5-10 s fuera</t>
        </is>
      </c>
      <c r="H62" s="61" t="inlineStr">
        <is>
          <t>2-3 x15-20
5-10 s fuera</t>
        </is>
      </c>
      <c r="I62" s="61" t="inlineStr">
        <is>
          <t>2-3 x15-20
5-10 s fuera</t>
        </is>
      </c>
      <c r="J62" s="61" t="inlineStr">
        <is>
          <t>2-3 x15-20
5-10 s fuera</t>
        </is>
      </c>
      <c r="K62" s="61" t="inlineStr">
        <is>
          <t>Codos pegados al cuerpo a 90°. RIR 3-4. Libro, p. 288.</t>
        </is>
      </c>
    </row>
    <row r="63" ht="43.5" customHeight="1" s="52">
      <c r="A63" s="59" t="inlineStr">
        <is>
          <t>Curl de muñeca en extensión (mancuerna)</t>
        </is>
      </c>
      <c r="B63" s="59" t="inlineStr">
        <is>
          <t>Codo (correctivo)</t>
        </is>
      </c>
      <c r="C63" s="61" t="inlineStr">
        <is>
          <t>—</t>
        </is>
      </c>
      <c r="D63" s="61" t="inlineStr">
        <is>
          <t>3 x10-15
3 s / 3 s</t>
        </is>
      </c>
      <c r="E63" s="61" t="inlineStr">
        <is>
          <t>3 x10-15
3 s / 3 s</t>
        </is>
      </c>
      <c r="F63" s="61" t="inlineStr">
        <is>
          <t>3 x10-15
3 s / 3 s</t>
        </is>
      </c>
      <c r="G63" s="61" t="inlineStr">
        <is>
          <t>3 x10-15
3 s / 3 s</t>
        </is>
      </c>
      <c r="H63" s="61" t="inlineStr">
        <is>
          <t>3 x10-15
3 s / 3 s</t>
        </is>
      </c>
      <c r="I63" s="61" t="inlineStr">
        <is>
          <t>3 x10-15
3 s / 3 s</t>
        </is>
      </c>
      <c r="J63" s="61" t="inlineStr">
        <is>
          <t>3 x10-15
3 s / 3 s</t>
        </is>
      </c>
      <c r="K63" s="61" t="inlineStr">
        <is>
          <t>Codo (cara externa). Antebrazo apoyado, palma abajo. Si ahora agarrar te duele: isométrico 4-5×30-45 s las 1-2 primeras semanas. Antes, test del nervio radial (libro, p. 323): si es positivo, se cambia por deslizamientos del nervio (p. 338). Dolor ≤3/10 y no peor al día siguiente. Libro, pp. 332-333.</t>
        </is>
      </c>
    </row>
    <row r="64" ht="30" customHeight="1" s="52">
      <c r="A64" s="67" t="inlineStr">
        <is>
          <t>Autorregulación: si un músculo pierde reps 2 sesiones seguidas, esa semana NO le subas series. Si se estancan varios a la vez o la rodilla empeora en el test, repite la semana anterior.</t>
        </is>
      </c>
      <c r="B64" s="56" t="n"/>
      <c r="C64" s="56" t="n"/>
      <c r="D64" s="56" t="n"/>
      <c r="E64" s="56" t="n"/>
      <c r="F64" s="56" t="n"/>
      <c r="G64" s="56" t="n"/>
      <c r="H64" s="56" t="n"/>
      <c r="I64" s="56" t="n"/>
      <c r="J64" s="56" t="n"/>
      <c r="K64" s="57" t="n"/>
    </row>
    <row r="65" ht="15.75" customHeight="1" s="52"/>
    <row r="66" ht="19.5" customHeight="1" s="52">
      <c r="A66" s="65" t="inlineStr">
        <is>
          <t>Semana 9 (14-20/12) · Viaje = descarga  ·  Semana 10 · Vuelta progresiva</t>
        </is>
      </c>
      <c r="B66" s="56" t="n"/>
      <c r="C66" s="56" t="n"/>
      <c r="D66" s="56" t="n"/>
      <c r="E66" s="56" t="n"/>
      <c r="F66" s="56" t="n"/>
      <c r="G66" s="56" t="n"/>
      <c r="H66" s="56" t="n"/>
      <c r="I66" s="56" t="n"/>
      <c r="J66" s="56" t="n"/>
      <c r="K66" s="57" t="n"/>
    </row>
    <row r="67" ht="30" customHeight="1" s="52">
      <c r="A67" s="73" t="inlineStr">
        <is>
          <t>Hipertrofia: la semana sin entrenar hace de descarga justo después del pico de volumen de la semana 8.</t>
        </is>
      </c>
      <c r="B67" s="56" t="n"/>
      <c r="C67" s="56" t="n"/>
      <c r="D67" s="56" t="n"/>
      <c r="E67" s="56" t="n"/>
      <c r="F67" s="56" t="n"/>
      <c r="G67" s="56" t="n"/>
      <c r="H67" s="56" t="n"/>
      <c r="I67" s="56" t="n"/>
      <c r="J67" s="56" t="n"/>
      <c r="K67" s="57" t="n"/>
    </row>
    <row r="68" ht="42" customHeight="1" s="52">
      <c r="A68" s="73" t="inlineStr">
        <is>
          <t>Rodilla en el viaje: nunca reposo total del tendón. Sentadilla española 5×45 s cada día (sin anclaje → wall sit a 1 pierna) y las dos pruebas de la mañana (declive + 10 subidas). Carrera: si puedes, 2 rodajes suaves sin pasar del nivel de S8 y nunca dos días seguidos, con la regla de carrera (≤2/10, nivel previo en ≤60 min, mañana siguiente no peor).</t>
        </is>
      </c>
      <c r="B68" s="56" t="n"/>
      <c r="C68" s="56" t="n"/>
      <c r="D68" s="56" t="n"/>
      <c r="E68" s="56" t="n"/>
      <c r="F68" s="56" t="n"/>
      <c r="G68" s="56" t="n"/>
      <c r="H68" s="56" t="n"/>
      <c r="I68" s="56" t="n"/>
      <c r="J68" s="56" t="n"/>
      <c r="K68" s="57" t="n"/>
    </row>
    <row r="69" ht="42" customHeight="1" s="52">
      <c r="A69" s="73" t="inlineStr">
        <is>
          <t>Semana 10 (vuelta): hipertrofia con las series de la sem 3-4 y a RIR2. Rehab ×8 al ~80% del peso de la sem 8; si se cumple la regla de 24-48 h, semana 11 a peso completo y siguiente escalón del libro (×6). Carrera: retomas el nivel de S8, o uno por debajo si no pudiste correr en el viaje.</t>
        </is>
      </c>
      <c r="B69" s="56" t="n"/>
      <c r="C69" s="56" t="n"/>
      <c r="D69" s="56" t="n"/>
      <c r="E69" s="56" t="n"/>
      <c r="F69" s="56" t="n"/>
      <c r="G69" s="56" t="n"/>
      <c r="H69" s="56" t="n"/>
      <c r="I69" s="56" t="n"/>
      <c r="J69" s="56" t="n"/>
      <c r="K69" s="57" t="n"/>
    </row>
    <row r="70" ht="15.75" customHeight="1" s="52"/>
    <row r="71" ht="19.5" customHeight="1" s="52">
      <c r="A71" s="74" t="inlineStr">
        <is>
          <t>Series semanales por grupo muscular (se recalculan solas al cambiar la tabla)</t>
        </is>
      </c>
      <c r="B71" s="56" t="n"/>
      <c r="C71" s="56" t="n"/>
      <c r="D71" s="56" t="n"/>
      <c r="E71" s="56" t="n"/>
      <c r="F71" s="56" t="n"/>
      <c r="G71" s="56" t="n"/>
      <c r="H71" s="56" t="n"/>
      <c r="I71" s="56" t="n"/>
      <c r="J71" s="56" t="n"/>
      <c r="K71" s="57" t="n"/>
    </row>
    <row r="72" ht="15.75" customHeight="1" s="52">
      <c r="A72" s="75" t="inlineStr">
        <is>
          <t>Grupo muscular</t>
        </is>
      </c>
      <c r="B72" s="75" t="inlineStr">
        <is>
          <t>Sem 1 → Sem 8</t>
        </is>
      </c>
      <c r="C72" s="75" t="inlineStr">
        <is>
          <t>Sem 1</t>
        </is>
      </c>
      <c r="D72" s="75" t="inlineStr">
        <is>
          <t>Sem 2</t>
        </is>
      </c>
      <c r="E72" s="75" t="inlineStr">
        <is>
          <t>Sem 3</t>
        </is>
      </c>
      <c r="F72" s="75" t="inlineStr">
        <is>
          <t>Sem 4</t>
        </is>
      </c>
      <c r="G72" s="75" t="inlineStr">
        <is>
          <t>Sem 5</t>
        </is>
      </c>
      <c r="H72" s="75" t="inlineStr">
        <is>
          <t>Sem 6</t>
        </is>
      </c>
      <c r="I72" s="75" t="inlineStr">
        <is>
          <t>Sem 7</t>
        </is>
      </c>
      <c r="J72" s="75" t="inlineStr">
        <is>
          <t>Sem 8</t>
        </is>
      </c>
    </row>
    <row r="73" ht="15.75" customHeight="1" s="52">
      <c r="A73" s="76" t="inlineStr">
        <is>
          <t>Espalda</t>
        </is>
      </c>
      <c r="B73" s="77">
        <f>C73&amp;" → "&amp;J73</f>
        <v/>
      </c>
      <c r="C73" s="77">
        <f t="array" ref="C73:C73">SUM(($B$3:$B$63="Espalda")*IFERROR(VALUE(LEFT(C$3:C$63,FIND(" ",C$3:C$63&amp;" ")-1)),0))</f>
        <v/>
      </c>
      <c r="D73" s="77">
        <f t="array" ref="D73:D73">SUM(($B$3:$B$63="Espalda")*IFERROR(VALUE(LEFT(D$3:D$63,FIND(" ",D$3:D$63&amp;" ")-1)),0))</f>
        <v/>
      </c>
      <c r="E73" s="77">
        <f t="array" ref="E73:E73">SUM(($B$3:$B$63="Espalda")*IFERROR(VALUE(LEFT(E$3:E$63,FIND(" ",E$3:E$63&amp;" ")-1)),0))</f>
        <v/>
      </c>
      <c r="F73" s="77">
        <f t="array" ref="F73:F73">SUM(($B$3:$B$63="Espalda")*IFERROR(VALUE(LEFT(F$3:F$63,FIND(" ",F$3:F$63&amp;" ")-1)),0))</f>
        <v/>
      </c>
      <c r="G73" s="77">
        <f t="array" ref="G73:G73">SUM(($B$3:$B$63="Espalda")*IFERROR(VALUE(LEFT(G$3:G$63,FIND(" ",G$3:G$63&amp;" ")-1)),0))</f>
        <v/>
      </c>
      <c r="H73" s="77">
        <f t="array" ref="H73:H73">SUM(($B$3:$B$63="Espalda")*IFERROR(VALUE(LEFT(H$3:H$63,FIND(" ",H$3:H$63&amp;" ")-1)),0))</f>
        <v/>
      </c>
      <c r="I73" s="77">
        <f t="array" ref="I73:I73">SUM(($B$3:$B$63="Espalda")*IFERROR(VALUE(LEFT(I$3:I$63,FIND(" ",I$3:I$63&amp;" ")-1)),0))</f>
        <v/>
      </c>
      <c r="J73" s="77">
        <f t="array" ref="J73:J73">SUM(($B$3:$B$63="Espalda")*IFERROR(VALUE(LEFT(J$3:J$63,FIND(" ",J$3:J$63&amp;" ")-1)),0))</f>
        <v/>
      </c>
      <c r="K73" s="77" t="n"/>
    </row>
    <row r="74" ht="15.75" customHeight="1" s="52">
      <c r="A74" s="76" t="inlineStr">
        <is>
          <t>Pecho</t>
        </is>
      </c>
      <c r="B74" s="77">
        <f>C74&amp;" → "&amp;J74</f>
        <v/>
      </c>
      <c r="C74" s="77">
        <f t="array" ref="C74:C74">SUM(($B$3:$B$63="Pecho")*IFERROR(VALUE(LEFT(C$3:C$63,FIND(" ",C$3:C$63&amp;" ")-1)),0))</f>
        <v/>
      </c>
      <c r="D74" s="77">
        <f t="array" ref="D74:D74">SUM(($B$3:$B$63="Pecho")*IFERROR(VALUE(LEFT(D$3:D$63,FIND(" ",D$3:D$63&amp;" ")-1)),0))</f>
        <v/>
      </c>
      <c r="E74" s="77">
        <f t="array" ref="E74:E74">SUM(($B$3:$B$63="Pecho")*IFERROR(VALUE(LEFT(E$3:E$63,FIND(" ",E$3:E$63&amp;" ")-1)),0))</f>
        <v/>
      </c>
      <c r="F74" s="77">
        <f t="array" ref="F74:F74">SUM(($B$3:$B$63="Pecho")*IFERROR(VALUE(LEFT(F$3:F$63,FIND(" ",F$3:F$63&amp;" ")-1)),0))</f>
        <v/>
      </c>
      <c r="G74" s="77">
        <f t="array" ref="G74:G74">SUM(($B$3:$B$63="Pecho")*IFERROR(VALUE(LEFT(G$3:G$63,FIND(" ",G$3:G$63&amp;" ")-1)),0))</f>
        <v/>
      </c>
      <c r="H74" s="77">
        <f t="array" ref="H74:H74">SUM(($B$3:$B$63="Pecho")*IFERROR(VALUE(LEFT(H$3:H$63,FIND(" ",H$3:H$63&amp;" ")-1)),0))</f>
        <v/>
      </c>
      <c r="I74" s="77">
        <f t="array" ref="I74:I74">SUM(($B$3:$B$63="Pecho")*IFERROR(VALUE(LEFT(I$3:I$63,FIND(" ",I$3:I$63&amp;" ")-1)),0))</f>
        <v/>
      </c>
      <c r="J74" s="77">
        <f t="array" ref="J74:J74">SUM(($B$3:$B$63="Pecho")*IFERROR(VALUE(LEFT(J$3:J$63,FIND(" ",J$3:J$63&amp;" ")-1)),0))</f>
        <v/>
      </c>
      <c r="K74" s="77" t="n"/>
    </row>
    <row r="75" ht="15.75" customHeight="1" s="52">
      <c r="A75" s="76" t="inlineStr">
        <is>
          <t>Hombro lat.</t>
        </is>
      </c>
      <c r="B75" s="77">
        <f>C75&amp;" → "&amp;J75</f>
        <v/>
      </c>
      <c r="C75" s="77">
        <f t="array" ref="C75:C75">SUM(($B$3:$B$63="Hombro lat.")*IFERROR(VALUE(LEFT(C$3:C$63,FIND(" ",C$3:C$63&amp;" ")-1)),0))</f>
        <v/>
      </c>
      <c r="D75" s="77">
        <f t="array" ref="D75:D75">SUM(($B$3:$B$63="Hombro lat.")*IFERROR(VALUE(LEFT(D$3:D$63,FIND(" ",D$3:D$63&amp;" ")-1)),0))</f>
        <v/>
      </c>
      <c r="E75" s="77">
        <f t="array" ref="E75:E75">SUM(($B$3:$B$63="Hombro lat.")*IFERROR(VALUE(LEFT(E$3:E$63,FIND(" ",E$3:E$63&amp;" ")-1)),0))</f>
        <v/>
      </c>
      <c r="F75" s="77">
        <f t="array" ref="F75:F75">SUM(($B$3:$B$63="Hombro lat.")*IFERROR(VALUE(LEFT(F$3:F$63,FIND(" ",F$3:F$63&amp;" ")-1)),0))</f>
        <v/>
      </c>
      <c r="G75" s="77">
        <f t="array" ref="G75:G75">SUM(($B$3:$B$63="Hombro lat.")*IFERROR(VALUE(LEFT(G$3:G$63,FIND(" ",G$3:G$63&amp;" ")-1)),0))</f>
        <v/>
      </c>
      <c r="H75" s="77">
        <f t="array" ref="H75:H75">SUM(($B$3:$B$63="Hombro lat.")*IFERROR(VALUE(LEFT(H$3:H$63,FIND(" ",H$3:H$63&amp;" ")-1)),0))</f>
        <v/>
      </c>
      <c r="I75" s="77">
        <f t="array" ref="I75:I75">SUM(($B$3:$B$63="Hombro lat.")*IFERROR(VALUE(LEFT(I$3:I$63,FIND(" ",I$3:I$63&amp;" ")-1)),0))</f>
        <v/>
      </c>
      <c r="J75" s="77">
        <f t="array" ref="J75:J75">SUM(($B$3:$B$63="Hombro lat.")*IFERROR(VALUE(LEFT(J$3:J$63,FIND(" ",J$3:J$63&amp;" ")-1)),0))</f>
        <v/>
      </c>
      <c r="K75" s="77" t="n"/>
    </row>
    <row r="76" ht="15.75" customHeight="1" s="52">
      <c r="A76" s="76" t="inlineStr">
        <is>
          <t>Hombro post.</t>
        </is>
      </c>
      <c r="B76" s="77">
        <f>C76&amp;" → "&amp;J76</f>
        <v/>
      </c>
      <c r="C76" s="77">
        <f t="array" ref="C76:C76">SUM(($B$3:$B$63="Hombro post.")*IFERROR(VALUE(LEFT(C$3:C$63,FIND(" ",C$3:C$63&amp;" ")-1)),0))</f>
        <v/>
      </c>
      <c r="D76" s="77">
        <f t="array" ref="D76:D76">SUM(($B$3:$B$63="Hombro post.")*IFERROR(VALUE(LEFT(D$3:D$63,FIND(" ",D$3:D$63&amp;" ")-1)),0))</f>
        <v/>
      </c>
      <c r="E76" s="77">
        <f t="array" ref="E76:E76">SUM(($B$3:$B$63="Hombro post.")*IFERROR(VALUE(LEFT(E$3:E$63,FIND(" ",E$3:E$63&amp;" ")-1)),0))</f>
        <v/>
      </c>
      <c r="F76" s="77">
        <f t="array" ref="F76:F76">SUM(($B$3:$B$63="Hombro post.")*IFERROR(VALUE(LEFT(F$3:F$63,FIND(" ",F$3:F$63&amp;" ")-1)),0))</f>
        <v/>
      </c>
      <c r="G76" s="77">
        <f t="array" ref="G76:G76">SUM(($B$3:$B$63="Hombro post.")*IFERROR(VALUE(LEFT(G$3:G$63,FIND(" ",G$3:G$63&amp;" ")-1)),0))</f>
        <v/>
      </c>
      <c r="H76" s="77">
        <f t="array" ref="H76:H76">SUM(($B$3:$B$63="Hombro post.")*IFERROR(VALUE(LEFT(H$3:H$63,FIND(" ",H$3:H$63&amp;" ")-1)),0))</f>
        <v/>
      </c>
      <c r="I76" s="77">
        <f t="array" ref="I76:I76">SUM(($B$3:$B$63="Hombro post.")*IFERROR(VALUE(LEFT(I$3:I$63,FIND(" ",I$3:I$63&amp;" ")-1)),0))</f>
        <v/>
      </c>
      <c r="J76" s="77">
        <f t="array" ref="J76:J76">SUM(($B$3:$B$63="Hombro post.")*IFERROR(VALUE(LEFT(J$3:J$63,FIND(" ",J$3:J$63&amp;" ")-1)),0))</f>
        <v/>
      </c>
      <c r="K76" s="77" t="n"/>
    </row>
    <row r="77" ht="15.75" customHeight="1" s="52">
      <c r="A77" s="76" t="inlineStr">
        <is>
          <t>Bíceps</t>
        </is>
      </c>
      <c r="B77" s="77">
        <f>C77&amp;" → "&amp;J77</f>
        <v/>
      </c>
      <c r="C77" s="77">
        <f t="array" ref="C77:C77">SUM(($B$3:$B$63="Bíceps")*IFERROR(VALUE(LEFT(C$3:C$63,FIND(" ",C$3:C$63&amp;" ")-1)),0))</f>
        <v/>
      </c>
      <c r="D77" s="77">
        <f t="array" ref="D77:D77">SUM(($B$3:$B$63="Bíceps")*IFERROR(VALUE(LEFT(D$3:D$63,FIND(" ",D$3:D$63&amp;" ")-1)),0))</f>
        <v/>
      </c>
      <c r="E77" s="77">
        <f t="array" ref="E77:E77">SUM(($B$3:$B$63="Bíceps")*IFERROR(VALUE(LEFT(E$3:E$63,FIND(" ",E$3:E$63&amp;" ")-1)),0))</f>
        <v/>
      </c>
      <c r="F77" s="77">
        <f t="array" ref="F77:F77">SUM(($B$3:$B$63="Bíceps")*IFERROR(VALUE(LEFT(F$3:F$63,FIND(" ",F$3:F$63&amp;" ")-1)),0))</f>
        <v/>
      </c>
      <c r="G77" s="77">
        <f t="array" ref="G77:G77">SUM(($B$3:$B$63="Bíceps")*IFERROR(VALUE(LEFT(G$3:G$63,FIND(" ",G$3:G$63&amp;" ")-1)),0))</f>
        <v/>
      </c>
      <c r="H77" s="77">
        <f t="array" ref="H77:H77">SUM(($B$3:$B$63="Bíceps")*IFERROR(VALUE(LEFT(H$3:H$63,FIND(" ",H$3:H$63&amp;" ")-1)),0))</f>
        <v/>
      </c>
      <c r="I77" s="77">
        <f t="array" ref="I77:I77">SUM(($B$3:$B$63="Bíceps")*IFERROR(VALUE(LEFT(I$3:I$63,FIND(" ",I$3:I$63&amp;" ")-1)),0))</f>
        <v/>
      </c>
      <c r="J77" s="77">
        <f t="array" ref="J77:J77">SUM(($B$3:$B$63="Bíceps")*IFERROR(VALUE(LEFT(J$3:J$63,FIND(" ",J$3:J$63&amp;" ")-1)),0))</f>
        <v/>
      </c>
      <c r="K77" s="77" t="n"/>
    </row>
    <row r="78" ht="15.75" customHeight="1" s="52">
      <c r="A78" s="76" t="inlineStr">
        <is>
          <t>Tríceps</t>
        </is>
      </c>
      <c r="B78" s="77">
        <f>C78&amp;" → "&amp;J78</f>
        <v/>
      </c>
      <c r="C78" s="77">
        <f t="array" ref="C78:C78">SUM(($B$3:$B$63="Tríceps")*IFERROR(VALUE(LEFT(C$3:C$63,FIND(" ",C$3:C$63&amp;" ")-1)),0))</f>
        <v/>
      </c>
      <c r="D78" s="77">
        <f t="array" ref="D78:D78">SUM(($B$3:$B$63="Tríceps")*IFERROR(VALUE(LEFT(D$3:D$63,FIND(" ",D$3:D$63&amp;" ")-1)),0))</f>
        <v/>
      </c>
      <c r="E78" s="77">
        <f t="array" ref="E78:E78">SUM(($B$3:$B$63="Tríceps")*IFERROR(VALUE(LEFT(E$3:E$63,FIND(" ",E$3:E$63&amp;" ")-1)),0))</f>
        <v/>
      </c>
      <c r="F78" s="77">
        <f t="array" ref="F78:F78">SUM(($B$3:$B$63="Tríceps")*IFERROR(VALUE(LEFT(F$3:F$63,FIND(" ",F$3:F$63&amp;" ")-1)),0))</f>
        <v/>
      </c>
      <c r="G78" s="77">
        <f t="array" ref="G78:G78">SUM(($B$3:$B$63="Tríceps")*IFERROR(VALUE(LEFT(G$3:G$63,FIND(" ",G$3:G$63&amp;" ")-1)),0))</f>
        <v/>
      </c>
      <c r="H78" s="77">
        <f t="array" ref="H78:H78">SUM(($B$3:$B$63="Tríceps")*IFERROR(VALUE(LEFT(H$3:H$63,FIND(" ",H$3:H$63&amp;" ")-1)),0))</f>
        <v/>
      </c>
      <c r="I78" s="77">
        <f t="array" ref="I78:I78">SUM(($B$3:$B$63="Tríceps")*IFERROR(VALUE(LEFT(I$3:I$63,FIND(" ",I$3:I$63&amp;" ")-1)),0))</f>
        <v/>
      </c>
      <c r="J78" s="77">
        <f t="array" ref="J78:J78">SUM(($B$3:$B$63="Tríceps")*IFERROR(VALUE(LEFT(J$3:J$63,FIND(" ",J$3:J$63&amp;" ")-1)),0))</f>
        <v/>
      </c>
      <c r="K78" s="77" t="n"/>
    </row>
    <row r="79" ht="15.75" customHeight="1" s="52">
      <c r="A79" s="76" t="inlineStr">
        <is>
          <t>Isquios</t>
        </is>
      </c>
      <c r="B79" s="77">
        <f>C79&amp;" → "&amp;J79</f>
        <v/>
      </c>
      <c r="C79" s="77">
        <f t="array" ref="C79:C79">SUM(($B$3:$B$63="Isquios")*IFERROR(VALUE(LEFT(C$3:C$63,FIND(" ",C$3:C$63&amp;" ")-1)),0))</f>
        <v/>
      </c>
      <c r="D79" s="77">
        <f t="array" ref="D79:D79">SUM(($B$3:$B$63="Isquios")*IFERROR(VALUE(LEFT(D$3:D$63,FIND(" ",D$3:D$63&amp;" ")-1)),0))</f>
        <v/>
      </c>
      <c r="E79" s="77">
        <f t="array" ref="E79:E79">SUM(($B$3:$B$63="Isquios")*IFERROR(VALUE(LEFT(E$3:E$63,FIND(" ",E$3:E$63&amp;" ")-1)),0))</f>
        <v/>
      </c>
      <c r="F79" s="77">
        <f t="array" ref="F79:F79">SUM(($B$3:$B$63="Isquios")*IFERROR(VALUE(LEFT(F$3:F$63,FIND(" ",F$3:F$63&amp;" ")-1)),0))</f>
        <v/>
      </c>
      <c r="G79" s="77">
        <f t="array" ref="G79:G79">SUM(($B$3:$B$63="Isquios")*IFERROR(VALUE(LEFT(G$3:G$63,FIND(" ",G$3:G$63&amp;" ")-1)),0))</f>
        <v/>
      </c>
      <c r="H79" s="77">
        <f t="array" ref="H79:H79">SUM(($B$3:$B$63="Isquios")*IFERROR(VALUE(LEFT(H$3:H$63,FIND(" ",H$3:H$63&amp;" ")-1)),0))</f>
        <v/>
      </c>
      <c r="I79" s="77">
        <f t="array" ref="I79:I79">SUM(($B$3:$B$63="Isquios")*IFERROR(VALUE(LEFT(I$3:I$63,FIND(" ",I$3:I$63&amp;" ")-1)),0))</f>
        <v/>
      </c>
      <c r="J79" s="77">
        <f t="array" ref="J79:J79">SUM(($B$3:$B$63="Isquios")*IFERROR(VALUE(LEFT(J$3:J$63,FIND(" ",J$3:J$63&amp;" ")-1)),0))</f>
        <v/>
      </c>
      <c r="K79" s="77" t="n"/>
    </row>
    <row r="80" ht="15.75" customHeight="1" s="52">
      <c r="A80" s="76" t="inlineStr">
        <is>
          <t>Abs</t>
        </is>
      </c>
      <c r="B80" s="77">
        <f>C80&amp;" → "&amp;J80</f>
        <v/>
      </c>
      <c r="C80" s="77">
        <f t="array" ref="C80:C80">SUM(($B$3:$B$63="Abs")*IFERROR(VALUE(LEFT(C$3:C$63,FIND(" ",C$3:C$63&amp;" ")-1)),0))</f>
        <v/>
      </c>
      <c r="D80" s="77">
        <f t="array" ref="D80:D80">SUM(($B$3:$B$63="Abs")*IFERROR(VALUE(LEFT(D$3:D$63,FIND(" ",D$3:D$63&amp;" ")-1)),0))</f>
        <v/>
      </c>
      <c r="E80" s="77">
        <f t="array" ref="E80:E80">SUM(($B$3:$B$63="Abs")*IFERROR(VALUE(LEFT(E$3:E$63,FIND(" ",E$3:E$63&amp;" ")-1)),0))</f>
        <v/>
      </c>
      <c r="F80" s="77">
        <f t="array" ref="F80:F80">SUM(($B$3:$B$63="Abs")*IFERROR(VALUE(LEFT(F$3:F$63,FIND(" ",F$3:F$63&amp;" ")-1)),0))</f>
        <v/>
      </c>
      <c r="G80" s="77">
        <f t="array" ref="G80:G80">SUM(($B$3:$B$63="Abs")*IFERROR(VALUE(LEFT(G$3:G$63,FIND(" ",G$3:G$63&amp;" ")-1)),0))</f>
        <v/>
      </c>
      <c r="H80" s="77">
        <f t="array" ref="H80:H80">SUM(($B$3:$B$63="Abs")*IFERROR(VALUE(LEFT(H$3:H$63,FIND(" ",H$3:H$63&amp;" ")-1)),0))</f>
        <v/>
      </c>
      <c r="I80" s="77">
        <f t="array" ref="I80:I80">SUM(($B$3:$B$63="Abs")*IFERROR(VALUE(LEFT(I$3:I$63,FIND(" ",I$3:I$63&amp;" ")-1)),0))</f>
        <v/>
      </c>
      <c r="J80" s="77">
        <f t="array" ref="J80:J80">SUM(($B$3:$B$63="Abs")*IFERROR(VALUE(LEFT(J$3:J$63,FIND(" ",J$3:J$63&amp;" ")-1)),0))</f>
        <v/>
      </c>
      <c r="K80" s="77" t="n"/>
    </row>
    <row r="81" ht="15.75" customHeight="1" s="52">
      <c r="A81" s="76" t="inlineStr">
        <is>
          <t>Gemelos</t>
        </is>
      </c>
      <c r="B81" s="77">
        <f>C81&amp;" → "&amp;J81</f>
        <v/>
      </c>
      <c r="C81" s="77">
        <f t="array" ref="C81:C81">SUM(($B$3:$B$63="Gemelos")*IFERROR(VALUE(LEFT(C$3:C$63,FIND(" ",C$3:C$63&amp;" ")-1)),0))</f>
        <v/>
      </c>
      <c r="D81" s="77">
        <f t="array" ref="D81:D81">SUM(($B$3:$B$63="Gemelos")*IFERROR(VALUE(LEFT(D$3:D$63,FIND(" ",D$3:D$63&amp;" ")-1)),0))</f>
        <v/>
      </c>
      <c r="E81" s="77">
        <f t="array" ref="E81:E81">SUM(($B$3:$B$63="Gemelos")*IFERROR(VALUE(LEFT(E$3:E$63,FIND(" ",E$3:E$63&amp;" ")-1)),0))</f>
        <v/>
      </c>
      <c r="F81" s="77">
        <f t="array" ref="F81:F81">SUM(($B$3:$B$63="Gemelos")*IFERROR(VALUE(LEFT(F$3:F$63,FIND(" ",F$3:F$63&amp;" ")-1)),0))</f>
        <v/>
      </c>
      <c r="G81" s="77">
        <f t="array" ref="G81:G81">SUM(($B$3:$B$63="Gemelos")*IFERROR(VALUE(LEFT(G$3:G$63,FIND(" ",G$3:G$63&amp;" ")-1)),0))</f>
        <v/>
      </c>
      <c r="H81" s="77">
        <f t="array" ref="H81:H81">SUM(($B$3:$B$63="Gemelos")*IFERROR(VALUE(LEFT(H$3:H$63,FIND(" ",H$3:H$63&amp;" ")-1)),0))</f>
        <v/>
      </c>
      <c r="I81" s="77">
        <f t="array" ref="I81:I81">SUM(($B$3:$B$63="Gemelos")*IFERROR(VALUE(LEFT(I$3:I$63,FIND(" ",I$3:I$63&amp;" ")-1)),0))</f>
        <v/>
      </c>
      <c r="J81" s="77">
        <f t="array" ref="J81:J81">SUM(($B$3:$B$63="Gemelos")*IFERROR(VALUE(LEFT(J$3:J$63,FIND(" ",J$3:J$63&amp;" ")-1)),0))</f>
        <v/>
      </c>
      <c r="K81" s="77" t="n"/>
    </row>
    <row r="82" ht="15.75" customHeight="1" s="52">
      <c r="A82" s="76" t="inlineStr">
        <is>
          <t>Aductores</t>
        </is>
      </c>
      <c r="B82" s="77">
        <f>C82&amp;" → "&amp;J82</f>
        <v/>
      </c>
      <c r="C82" s="77">
        <f t="array" ref="C82:C82">SUM(($B$3:$B$63="Aductores")*IFERROR(VALUE(LEFT(C$3:C$63,FIND(" ",C$3:C$63&amp;" ")-1)),0))</f>
        <v/>
      </c>
      <c r="D82" s="77">
        <f t="array" ref="D82:D82">SUM(($B$3:$B$63="Aductores")*IFERROR(VALUE(LEFT(D$3:D$63,FIND(" ",D$3:D$63&amp;" ")-1)),0))</f>
        <v/>
      </c>
      <c r="E82" s="77">
        <f t="array" ref="E82:E82">SUM(($B$3:$B$63="Aductores")*IFERROR(VALUE(LEFT(E$3:E$63,FIND(" ",E$3:E$63&amp;" ")-1)),0))</f>
        <v/>
      </c>
      <c r="F82" s="77">
        <f t="array" ref="F82:F82">SUM(($B$3:$B$63="Aductores")*IFERROR(VALUE(LEFT(F$3:F$63,FIND(" ",F$3:F$63&amp;" ")-1)),0))</f>
        <v/>
      </c>
      <c r="G82" s="77">
        <f t="array" ref="G82:G82">SUM(($B$3:$B$63="Aductores")*IFERROR(VALUE(LEFT(G$3:G$63,FIND(" ",G$3:G$63&amp;" ")-1)),0))</f>
        <v/>
      </c>
      <c r="H82" s="77">
        <f t="array" ref="H82:H82">SUM(($B$3:$B$63="Aductores")*IFERROR(VALUE(LEFT(H$3:H$63,FIND(" ",H$3:H$63&amp;" ")-1)),0))</f>
        <v/>
      </c>
      <c r="I82" s="77">
        <f t="array" ref="I82:I82">SUM(($B$3:$B$63="Aductores")*IFERROR(VALUE(LEFT(I$3:I$63,FIND(" ",I$3:I$63&amp;" ")-1)),0))</f>
        <v/>
      </c>
      <c r="J82" s="77">
        <f t="array" ref="J82:J82">SUM(($B$3:$B$63="Aductores")*IFERROR(VALUE(LEFT(J$3:J$63,FIND(" ",J$3:J$63&amp;" ")-1)),0))</f>
        <v/>
      </c>
      <c r="K82" s="77" t="n"/>
    </row>
    <row r="83" ht="15.75" customHeight="1" s="52">
      <c r="A83" s="78" t="inlineStr">
        <is>
          <t>TOTAL hipertrofia</t>
        </is>
      </c>
      <c r="B83" s="75">
        <f>C83&amp;" → "&amp;J83</f>
        <v/>
      </c>
      <c r="C83" s="75">
        <f>SUM(C73:C82)</f>
        <v/>
      </c>
      <c r="D83" s="75">
        <f>SUM(D73:D82)</f>
        <v/>
      </c>
      <c r="E83" s="75">
        <f>SUM(E73:E82)</f>
        <v/>
      </c>
      <c r="F83" s="75">
        <f>SUM(F73:F82)</f>
        <v/>
      </c>
      <c r="G83" s="75">
        <f>SUM(G73:G82)</f>
        <v/>
      </c>
      <c r="H83" s="75">
        <f>SUM(H73:H82)</f>
        <v/>
      </c>
      <c r="I83" s="75">
        <f>SUM(I73:I82)</f>
        <v/>
      </c>
      <c r="J83" s="75">
        <f>SUM(J73:J82)</f>
        <v/>
      </c>
      <c r="K83" s="75" t="n"/>
    </row>
    <row r="84" ht="15.75" customHeight="1" s="52"/>
    <row r="85" ht="19.5" customHeight="1" s="52">
      <c r="A85" s="74" t="inlineStr">
        <is>
          <t>Desglose biomecánico de Espalda por planos (se recalcula solo al cambiar la tabla)</t>
        </is>
      </c>
      <c r="B85" s="56" t="n"/>
      <c r="C85" s="56" t="n"/>
      <c r="D85" s="56" t="n"/>
      <c r="E85" s="56" t="n"/>
      <c r="F85" s="56" t="n"/>
      <c r="G85" s="56" t="n"/>
      <c r="H85" s="56" t="n"/>
      <c r="I85" s="56" t="n"/>
      <c r="J85" s="56" t="n"/>
      <c r="K85" s="57" t="n"/>
    </row>
    <row r="86" ht="15.75" customHeight="1" s="52">
      <c r="A86" s="75" t="inlineStr">
        <is>
          <t>Plano / Región de Espalda</t>
        </is>
      </c>
      <c r="B86" s="75" t="inlineStr">
        <is>
          <t>Sem 1 → Sem 8</t>
        </is>
      </c>
      <c r="C86" s="75" t="inlineStr">
        <is>
          <t>Sem 1</t>
        </is>
      </c>
      <c r="D86" s="75" t="inlineStr">
        <is>
          <t>Sem 2</t>
        </is>
      </c>
      <c r="E86" s="75" t="inlineStr">
        <is>
          <t>Sem 3</t>
        </is>
      </c>
      <c r="F86" s="75" t="inlineStr">
        <is>
          <t>Sem 4</t>
        </is>
      </c>
      <c r="G86" s="75" t="inlineStr">
        <is>
          <t>Sem 5</t>
        </is>
      </c>
      <c r="H86" s="75" t="inlineStr">
        <is>
          <t>Sem 6</t>
        </is>
      </c>
      <c r="I86" s="75" t="inlineStr">
        <is>
          <t>Sem 7</t>
        </is>
      </c>
      <c r="J86" s="75" t="inlineStr">
        <is>
          <t>Sem 8</t>
        </is>
      </c>
      <c r="K86" s="51" t="inlineStr">
        <is>
          <t>Ejercicios incluidos</t>
        </is>
      </c>
    </row>
    <row r="87" ht="15.75" customHeight="1" s="52">
      <c r="A87" s="76" t="inlineStr">
        <is>
          <t>Dorsal Bajo (Plano Frontal)</t>
        </is>
      </c>
      <c r="B87" s="77">
        <f>C87&amp;" → "&amp;J87</f>
        <v/>
      </c>
      <c r="C87" s="77">
        <f>IFERROR(VALUE(LEFT(C25,FIND(" ",C25&amp;" ")-1)),0)+IFERROR(VALUE(LEFT(C53,FIND(" ",C53&amp;" ")-1)),0)</f>
        <v/>
      </c>
      <c r="D87" s="77">
        <f>IFERROR(VALUE(LEFT(D25,FIND(" ",D25&amp;" ")-1)),0)+IFERROR(VALUE(LEFT(D53,FIND(" ",D53&amp;" ")-1)),0)</f>
        <v/>
      </c>
      <c r="E87" s="77">
        <f>IFERROR(VALUE(LEFT(E25,FIND(" ",E25&amp;" ")-1)),0)+IFERROR(VALUE(LEFT(E53,FIND(" ",E53&amp;" ")-1)),0)</f>
        <v/>
      </c>
      <c r="F87" s="77">
        <f>IFERROR(VALUE(LEFT(F25,FIND(" ",F25&amp;" ")-1)),0)+IFERROR(VALUE(LEFT(F53,FIND(" ",F53&amp;" ")-1)),0)</f>
        <v/>
      </c>
      <c r="G87" s="77">
        <f>IFERROR(VALUE(LEFT(G25,FIND(" ",G25&amp;" ")-1)),0)+IFERROR(VALUE(LEFT(G53,FIND(" ",G53&amp;" ")-1)),0)</f>
        <v/>
      </c>
      <c r="H87" s="77">
        <f>IFERROR(VALUE(LEFT(H25,FIND(" ",H25&amp;" ")-1)),0)+IFERROR(VALUE(LEFT(H53,FIND(" ",H53&amp;" ")-1)),0)</f>
        <v/>
      </c>
      <c r="I87" s="77">
        <f>IFERROR(VALUE(LEFT(I25,FIND(" ",I25&amp;" ")-1)),0)+IFERROR(VALUE(LEFT(I53,FIND(" ",I53&amp;" ")-1)),0)</f>
        <v/>
      </c>
      <c r="J87" s="77">
        <f>IFERROR(VALUE(LEFT(J25,FIND(" ",J25&amp;" ")-1)),0)+IFERROR(VALUE(LEFT(J53,FIND(" ",J53&amp;" ")-1)),0)</f>
        <v/>
      </c>
      <c r="K87" s="79" t="inlineStr">
        <is>
          <t>Jalón ancho plano frontal (X) + Aducción unil. polea alta (V)</t>
        </is>
      </c>
    </row>
    <row r="88" ht="15.75" customHeight="1" s="52">
      <c r="A88" s="76" t="inlineStr">
        <is>
          <t>Dorsal Superior (Plano Sagital)</t>
        </is>
      </c>
      <c r="B88" s="77">
        <f>C88&amp;" → "&amp;J88</f>
        <v/>
      </c>
      <c r="C88" s="77">
        <f>IFERROR(VALUE(LEFT(C28,FIND(" ",C28&amp;" ")-1)),0)+IFERROR(VALUE(LEFT(C51,FIND(" ",C51&amp;" ")-1)),0)+IFERROR(VALUE(LEFT(C52,FIND(" ",C52&amp;" ")-1)),0)</f>
        <v/>
      </c>
      <c r="D88" s="77">
        <f>IFERROR(VALUE(LEFT(D28,FIND(" ",D28&amp;" ")-1)),0)+IFERROR(VALUE(LEFT(D51,FIND(" ",D51&amp;" ")-1)),0)+IFERROR(VALUE(LEFT(D52,FIND(" ",D52&amp;" ")-1)),0)</f>
        <v/>
      </c>
      <c r="E88" s="77">
        <f>IFERROR(VALUE(LEFT(E28,FIND(" ",E28&amp;" ")-1)),0)+IFERROR(VALUE(LEFT(E51,FIND(" ",E51&amp;" ")-1)),0)+IFERROR(VALUE(LEFT(E52,FIND(" ",E52&amp;" ")-1)),0)</f>
        <v/>
      </c>
      <c r="F88" s="77">
        <f>IFERROR(VALUE(LEFT(F28,FIND(" ",F28&amp;" ")-1)),0)+IFERROR(VALUE(LEFT(F51,FIND(" ",F51&amp;" ")-1)),0)+IFERROR(VALUE(LEFT(F52,FIND(" ",F52&amp;" ")-1)),0)</f>
        <v/>
      </c>
      <c r="G88" s="77">
        <f>IFERROR(VALUE(LEFT(G28,FIND(" ",G28&amp;" ")-1)),0)+IFERROR(VALUE(LEFT(G51,FIND(" ",G51&amp;" ")-1)),0)+IFERROR(VALUE(LEFT(G52,FIND(" ",G52&amp;" ")-1)),0)</f>
        <v/>
      </c>
      <c r="H88" s="77">
        <f>IFERROR(VALUE(LEFT(H28,FIND(" ",H28&amp;" ")-1)),0)+IFERROR(VALUE(LEFT(H51,FIND(" ",H51&amp;" ")-1)),0)+IFERROR(VALUE(LEFT(H52,FIND(" ",H52&amp;" ")-1)),0)</f>
        <v/>
      </c>
      <c r="I88" s="77">
        <f>IFERROR(VALUE(LEFT(I28,FIND(" ",I28&amp;" ")-1)),0)+IFERROR(VALUE(LEFT(I51,FIND(" ",I51&amp;" ")-1)),0)+IFERROR(VALUE(LEFT(I52,FIND(" ",I52&amp;" ")-1)),0)</f>
        <v/>
      </c>
      <c r="J88" s="77">
        <f>IFERROR(VALUE(LEFT(J28,FIND(" ",J28&amp;" ")-1)),0)+IFERROR(VALUE(LEFT(J51,FIND(" ",J51&amp;" ")-1)),0)+IFERROR(VALUE(LEFT(J52,FIND(" ",J52&amp;" ")-1)),0)</f>
        <v/>
      </c>
      <c r="K88" s="79" t="inlineStr">
        <is>
          <t>Jalón neutro bolsillos (X) + Dominada neutra (V) + Remo máq. 30° (V)</t>
        </is>
      </c>
    </row>
    <row r="89" ht="15.75" customHeight="1" s="52">
      <c r="A89" s="76" t="inlineStr">
        <is>
          <t>Espalda Alta (Plano Transversal)</t>
        </is>
      </c>
      <c r="B89" s="77">
        <f>C89&amp;" → "&amp;J89</f>
        <v/>
      </c>
      <c r="C89" s="77">
        <f>IFERROR(VALUE(LEFT(C26,FIND(" ",C26&amp;" ")-1)),0)</f>
        <v/>
      </c>
      <c r="D89" s="77">
        <f>IFERROR(VALUE(LEFT(D26,FIND(" ",D26&amp;" ")-1)),0)</f>
        <v/>
      </c>
      <c r="E89" s="77">
        <f>IFERROR(VALUE(LEFT(E26,FIND(" ",E26&amp;" ")-1)),0)</f>
        <v/>
      </c>
      <c r="F89" s="77">
        <f>IFERROR(VALUE(LEFT(F26,FIND(" ",F26&amp;" ")-1)),0)</f>
        <v/>
      </c>
      <c r="G89" s="77">
        <f>IFERROR(VALUE(LEFT(G26,FIND(" ",G26&amp;" ")-1)),0)</f>
        <v/>
      </c>
      <c r="H89" s="77">
        <f>IFERROR(VALUE(LEFT(H26,FIND(" ",H26&amp;" ")-1)),0)</f>
        <v/>
      </c>
      <c r="I89" s="77">
        <f>IFERROR(VALUE(LEFT(I26,FIND(" ",I26&amp;" ")-1)),0)</f>
        <v/>
      </c>
      <c r="J89" s="77">
        <f>IFERROR(VALUE(LEFT(J26,FIND(" ",J26&amp;" ")-1)),0)</f>
        <v/>
      </c>
      <c r="K89" s="79" t="inlineStr">
        <is>
          <t>Remo gironda abierto (X)</t>
        </is>
      </c>
    </row>
    <row r="90" ht="15.75" customHeight="1" s="52">
      <c r="A90" s="78" t="inlineStr">
        <is>
          <t>Total Transversal (Espalda Alta + Post.)</t>
        </is>
      </c>
      <c r="B90" s="75">
        <f>C90&amp;" → "&amp;J90</f>
        <v/>
      </c>
      <c r="C90" s="75">
        <f>IFERROR(VALUE(LEFT(C26,FIND(" ",C26&amp;" ")-1)),0)+IFERROR(VALUE(LEFT(C30,FIND(" ",C30&amp;" ")-1)),0)</f>
        <v/>
      </c>
      <c r="D90" s="75">
        <f>IFERROR(VALUE(LEFT(D26,FIND(" ",D26&amp;" ")-1)),0)+IFERROR(VALUE(LEFT(D30,FIND(" ",D30&amp;" ")-1)),0)</f>
        <v/>
      </c>
      <c r="E90" s="75">
        <f>IFERROR(VALUE(LEFT(E26,FIND(" ",E26&amp;" ")-1)),0)+IFERROR(VALUE(LEFT(E30,FIND(" ",E30&amp;" ")-1)),0)</f>
        <v/>
      </c>
      <c r="F90" s="75">
        <f>IFERROR(VALUE(LEFT(F26,FIND(" ",F26&amp;" ")-1)),0)+IFERROR(VALUE(LEFT(F30,FIND(" ",F30&amp;" ")-1)),0)</f>
        <v/>
      </c>
      <c r="G90" s="75">
        <f>IFERROR(VALUE(LEFT(G26,FIND(" ",G26&amp;" ")-1)),0)+IFERROR(VALUE(LEFT(G30,FIND(" ",G30&amp;" ")-1)),0)</f>
        <v/>
      </c>
      <c r="H90" s="75">
        <f>IFERROR(VALUE(LEFT(H26,FIND(" ",H26&amp;" ")-1)),0)+IFERROR(VALUE(LEFT(H30,FIND(" ",H30&amp;" ")-1)),0)</f>
        <v/>
      </c>
      <c r="I90" s="75">
        <f>IFERROR(VALUE(LEFT(I26,FIND(" ",I26&amp;" ")-1)),0)+IFERROR(VALUE(LEFT(I30,FIND(" ",I30&amp;" ")-1)),0)</f>
        <v/>
      </c>
      <c r="J90" s="75">
        <f>IFERROR(VALUE(LEFT(J26,FIND(" ",J26&amp;" ")-1)),0)+IFERROR(VALUE(LEFT(J30,FIND(" ",J30&amp;" ")-1)),0)</f>
        <v/>
      </c>
      <c r="K90" s="80" t="inlineStr">
        <is>
          <t>Remo gironda abierto (X) + Posterior polea (X)</t>
        </is>
      </c>
    </row>
    <row r="91" ht="15.75" customHeight="1" s="52"/>
    <row r="92" ht="15.75" customHeight="1" s="52"/>
    <row r="93" ht="19.5" customHeight="1" s="52">
      <c r="A93" s="74" t="inlineStr">
        <is>
          <t>BLOQUE DE CARDIO Y CARRERA (S2-S8)</t>
        </is>
      </c>
      <c r="B93" s="56" t="n"/>
      <c r="C93" s="56" t="n"/>
      <c r="D93" s="56" t="n"/>
      <c r="E93" s="56" t="n"/>
      <c r="F93" s="56" t="n"/>
      <c r="G93" s="56" t="n"/>
      <c r="H93" s="56" t="n"/>
      <c r="I93" s="56" t="n"/>
      <c r="J93" s="56" t="n"/>
      <c r="K93" s="57" t="n"/>
    </row>
    <row r="94" ht="15.75" customHeight="1" s="52">
      <c r="A94" s="75" t="inlineStr">
        <is>
          <t>Día / Sesión</t>
        </is>
      </c>
      <c r="B94" s="75" t="inlineStr">
        <is>
          <t>Tipo / Zona</t>
        </is>
      </c>
      <c r="C94" s="75" t="inlineStr">
        <is>
          <t>Sem 1</t>
        </is>
      </c>
      <c r="D94" s="75" t="inlineStr">
        <is>
          <t>Sem 2</t>
        </is>
      </c>
      <c r="E94" s="75" t="inlineStr">
        <is>
          <t>Sem 3</t>
        </is>
      </c>
      <c r="F94" s="75" t="inlineStr">
        <is>
          <t>Sem 4</t>
        </is>
      </c>
      <c r="G94" s="75" t="inlineStr">
        <is>
          <t>Sem 5</t>
        </is>
      </c>
      <c r="H94" s="75" t="inlineStr">
        <is>
          <t>Sem 6</t>
        </is>
      </c>
      <c r="I94" s="75" t="inlineStr">
        <is>
          <t>Sem 7</t>
        </is>
      </c>
      <c r="J94" s="75" t="inlineStr">
        <is>
          <t>Sem 8</t>
        </is>
      </c>
      <c r="K94" s="51" t="inlineStr">
        <is>
          <t>Pautas Biomecánicas Rodilla &amp; Intensidad</t>
        </is>
      </c>
    </row>
    <row r="95" ht="55.5" customHeight="1" s="52">
      <c r="A95" s="81" t="inlineStr">
        <is>
          <t>Martes (Post-Push)</t>
        </is>
      </c>
      <c r="B95" s="82" t="inlineStr">
        <is>
          <t>Bici Z2 (65–75% FC)</t>
        </is>
      </c>
      <c r="C95" s="77" t="inlineStr">
        <is>
          <t>15 min</t>
        </is>
      </c>
      <c r="D95" s="83" t="inlineStr">
        <is>
          <t>—</t>
        </is>
      </c>
      <c r="E95" s="83" t="inlineStr">
        <is>
          <t>—</t>
        </is>
      </c>
      <c r="F95" s="83" t="inlineStr">
        <is>
          <t>—</t>
        </is>
      </c>
      <c r="G95" s="83" t="inlineStr">
        <is>
          <t>10' Z2</t>
        </is>
      </c>
      <c r="H95" s="83" t="inlineStr">
        <is>
          <t>10' Z2</t>
        </is>
      </c>
      <c r="I95" s="83" t="inlineStr">
        <is>
          <t>10' Z2</t>
        </is>
      </c>
      <c r="J95" s="83" t="inlineStr">
        <is>
          <t>10' Z2</t>
        </is>
      </c>
      <c r="K95" s="62" t="inlineStr">
        <is>
          <t>No se hizo en S1: estímulo NUEVO [LÓGICA]. Entra en S4 (el viernes) solo si S2 y S3 cumplieron la regla; desde S5, martes y viernes. Sin Z3 en este bloque. En la regla de 48-72 h se mantiene si ya estaba introducida. Sillín alto (rodilla a 20-25° abajo), 85-90 rpm, sentado. 10 min fijos en el bloque; subir a 15 después del viaje, como novedad única.</t>
        </is>
      </c>
    </row>
    <row r="96" ht="30.75" customHeight="1" s="52">
      <c r="A96" s="81" t="inlineStr">
        <is>
          <t>Viernes (Post-Torso)</t>
        </is>
      </c>
      <c r="B96" s="82" t="inlineStr">
        <is>
          <t>Bici Z2 (sin Z3 en este bloque)</t>
        </is>
      </c>
      <c r="C96" s="77" t="inlineStr">
        <is>
          <t>12 min</t>
        </is>
      </c>
      <c r="D96" s="83" t="inlineStr">
        <is>
          <t>—</t>
        </is>
      </c>
      <c r="E96" s="83" t="inlineStr">
        <is>
          <t>—</t>
        </is>
      </c>
      <c r="F96" s="83" t="inlineStr">
        <is>
          <t>10' Z2
nov: 1.ª vez</t>
        </is>
      </c>
      <c r="G96" s="83" t="inlineStr">
        <is>
          <t>10' Z2</t>
        </is>
      </c>
      <c r="H96" s="83" t="inlineStr">
        <is>
          <t>10' Z2</t>
        </is>
      </c>
      <c r="I96" s="83" t="inlineStr">
        <is>
          <t>10' Z2</t>
        </is>
      </c>
      <c r="J96" s="83" t="inlineStr">
        <is>
          <t>10' Z2</t>
        </is>
      </c>
      <c r="K96" s="62" t="inlineStr">
        <is>
          <t>S4: primera vez, solo si esa mañana estás igual o mejor; se valida con las mediciones del sábado y del domingo (el sábado no hay pierna). Ver la nota del martes.</t>
        </is>
      </c>
    </row>
    <row r="97" ht="81" customHeight="1" s="52">
      <c r="A97" s="81" t="inlineStr">
        <is>
          <t>Miércoles · Carrera (nivel nuevo)</t>
        </is>
      </c>
      <c r="B97" s="82" t="inlineStr">
        <is>
          <t>Andar-correr en llano</t>
        </is>
      </c>
      <c r="C97" s="83" t="inlineStr">
        <is>
          <t>—</t>
        </is>
      </c>
      <c r="D97" s="83" t="inlineStr">
        <is>
          <t>N1 · 8×(1'/2')</t>
        </is>
      </c>
      <c r="E97" s="83" t="inlineStr">
        <is>
          <t>N2 · 6×(2'/1')</t>
        </is>
      </c>
      <c r="F97" s="83" t="inlineStr">
        <is>
          <t>N3 · 4×(4'/1')</t>
        </is>
      </c>
      <c r="G97" s="83" t="inlineStr">
        <is>
          <t>N4 · 4×(5'/1')</t>
        </is>
      </c>
      <c r="H97" s="83" t="inlineStr">
        <is>
          <t>N5 · 3×(8'/1')</t>
        </is>
      </c>
      <c r="I97" s="83" t="inlineStr">
        <is>
          <t>N6 · 2×(12'/1')</t>
        </is>
      </c>
      <c r="J97" s="83" t="inlineStr">
        <is>
          <t>repite N6</t>
        </is>
      </c>
      <c r="K97" s="62" t="inlineStr">
        <is>
          <t>Formato: minutos trotando / minutos andando. Niveles: N1 8×(1'/2') · N2 6×(2'/1') · N3 4×(4'/1') · N4 4×(5'/1') · N5 3×(8'/1') · N6 2×(12'/1') · N7 30' seguidos (después del viaje). N5 es un nivel intermedio para que el tramo continuo más largo no crezca más de un 50 % por nivel (5 → 8 → 12 min) [LÓGICA]. El calendario marca el máximo de cada semana; el nivel real sale del semáforo: Avanzar = +1, Mantener = el mismo, Retroceder = −1. Nivel nuevo solo si esa mañana estás igual o mejor. 5 min andando antes; llano y firme. Regla de carrera: Retroceder si pasas de 2/10 durante, no vuelves al nivel previo en ≤60 min o la mañana siguiente estás peor; Mantener si cumple pero el peor valor 24-48 h supera la referencia; Avanzar si cumple y el peor 24-48 h ≤ referencia [EVIDENCIA de uso: TREK Education, basada en Esculier; no comparada con otros umbrales]. Cadencia +5-10% opcional [EVIDENCIA mixta: Bramah 2019, serie de 12 corredores con mejora de dolor y función mantenida a 3 meses; Esculier 2018, sin beneficio extra sobre la educación].</t>
        </is>
      </c>
    </row>
    <row r="98" ht="30.75" customHeight="1" s="52">
      <c r="A98" s="81" t="inlineStr">
        <is>
          <t>Domingo · Carrera (repite)</t>
        </is>
      </c>
      <c r="B98" s="82" t="inlineStr">
        <is>
          <t>Andar-correr en llano</t>
        </is>
      </c>
      <c r="C98" s="83" t="inlineStr">
        <is>
          <t>—</t>
        </is>
      </c>
      <c r="D98" s="83" t="inlineStr">
        <is>
          <t>repite el
miércoles</t>
        </is>
      </c>
      <c r="E98" s="83" t="inlineStr">
        <is>
          <t>repite el
miércoles</t>
        </is>
      </c>
      <c r="F98" s="83" t="inlineStr">
        <is>
          <t>repite el
miércoles</t>
        </is>
      </c>
      <c r="G98" s="83" t="inlineStr">
        <is>
          <t>repite el
miércoles</t>
        </is>
      </c>
      <c r="H98" s="83" t="inlineStr">
        <is>
          <t>repite el
miércoles</t>
        </is>
      </c>
      <c r="I98" s="83" t="inlineStr">
        <is>
          <t>repite el
miércoles</t>
        </is>
      </c>
      <c r="J98" s="83" t="inlineStr">
        <is>
          <t>repite el
miércoles</t>
        </is>
      </c>
      <c r="K98" s="62" t="inlineStr">
        <is>
          <t>Repite el nivel validado el miércoles. Si el miércoles no se cumplieron los criterios de entrada, esa semana no hay carrera: el domingo no se corre (como mucho, un paseo). Nunca dos días seguidos corriendo [LÓGICA]. El sábado no hay pierna: llegas descansado.</t>
        </is>
      </c>
    </row>
    <row r="99" ht="55.5" customHeight="1" s="52">
      <c r="A99" s="81" t="inlineStr">
        <is>
          <t>Hitos y avisos</t>
        </is>
      </c>
      <c r="B99" s="82" t="inlineStr">
        <is>
          <t>Calendario</t>
        </is>
      </c>
      <c r="C99" s="83" t="inlineStr">
        <is>
          <t>—</t>
        </is>
      </c>
      <c r="D99" s="83" t="inlineStr">
        <is>
          <t>Mar: paseo 30'
Mié: TD + saltitos
→ 1.ª carrera
Jue: test 1</t>
        </is>
      </c>
      <c r="E99" s="83" t="inlineStr">
        <is>
          <t>—</t>
        </is>
      </c>
      <c r="F99" s="83" t="inlineStr">
        <is>
          <t>AVISO fisio
(ver Seguimiento)
Vie: bici</t>
        </is>
      </c>
      <c r="G99" s="83" t="inlineStr">
        <is>
          <t>Lun: x8
Jue: test 2</t>
        </is>
      </c>
      <c r="H99" s="83" t="inlineStr">
        <is>
          <t>—</t>
        </is>
      </c>
      <c r="I99" s="83" t="inlineStr">
        <is>
          <t>Jue: test 3</t>
        </is>
      </c>
      <c r="J99" s="83" t="inlineStr">
        <is>
          <t>Repite S7
Jue: test opc.
rango completo</t>
        </is>
      </c>
      <c r="K99" s="62" t="inlineStr">
        <is>
          <t>Entrada a la carrera (S2), con la regla de carrera: martes, paseo de 30 min a paso rápido (≤2/10, nivel previo en ≤60 min y el miércoles por la mañana no peor: el criterio 1 se evalúa solo con esa mañana, sin esperar a las 48 h); miércoles antes de correr, 10 touchdown con cada pierna y 20 saltitos a dos piernas (≤2/10). Si se cumplen los tres, 1.ª carrera ese miércoles (N1). Si no, esa semana no hay carrera (el domingo, como mucho, un paseo) y los criterios se repiten el miércoles siguiente [LÓGICA].</t>
        </is>
      </c>
    </row>
    <row r="100" ht="15.75" customHeight="1" s="52"/>
    <row r="101" ht="19.5" customHeight="1" s="52">
      <c r="A101" s="74" t="inlineStr">
        <is>
          <t>REGLAS DEL BLOQUE RODILLA (S2-S8)</t>
        </is>
      </c>
      <c r="B101" s="56" t="n"/>
      <c r="C101" s="56" t="n"/>
      <c r="D101" s="56" t="n"/>
      <c r="E101" s="56" t="n"/>
      <c r="F101" s="56" t="n"/>
      <c r="G101" s="56" t="n"/>
      <c r="H101" s="56" t="n"/>
      <c r="I101" s="56" t="n"/>
      <c r="J101" s="56" t="n"/>
      <c r="K101" s="57" t="n"/>
    </row>
    <row r="102" ht="30.75" customHeight="1" s="52">
      <c r="A102" s="67" t="inlineStr">
        <is>
          <t>Base [EVIDENCIA]: ejercicio combinado de cadera y rodilla (consensos de 2016 y 2018). Rodilla en 2 días, lunes y jueves (72-96 h entre sesiones, dentro de la ventana de 2-3 días de recuperación del tendón que describe el libro), pesado y lento en ambos; sábado sin pierna para llegar descansado a la carrera del domingo [LÓGICA].</t>
        </is>
      </c>
      <c r="B102" s="56" t="n"/>
      <c r="C102" s="56" t="n"/>
      <c r="D102" s="56" t="n"/>
      <c r="E102" s="56" t="n"/>
      <c r="F102" s="56" t="n"/>
      <c r="G102" s="56" t="n"/>
      <c r="H102" s="56" t="n"/>
      <c r="I102" s="56" t="n"/>
      <c r="J102" s="56" t="n"/>
      <c r="K102" s="57" t="n"/>
    </row>
    <row r="103" ht="30.75" customHeight="1" s="52">
      <c r="A103" s="67" t="inlineStr">
        <is>
          <t>Mediciones: cada mañana, en casa, con las mismas pruebas: test en declive y 10 subidas con la D al mismo escalón o banco. Vale la peor de las dos (el declive solo no basta: te sale 0 aunque haya molestia). Si falta la medición de la mañana, ese día no se evalúa y la primera medición disponible hace de referencia (en S2, la del martes). Se apuntan en «Seguimiento rodilla».</t>
        </is>
      </c>
      <c r="B103" s="56" t="n"/>
      <c r="C103" s="56" t="n"/>
      <c r="D103" s="56" t="n"/>
      <c r="E103" s="56" t="n"/>
      <c r="F103" s="56" t="n"/>
      <c r="G103" s="56" t="n"/>
      <c r="H103" s="56" t="n"/>
      <c r="I103" s="56" t="n"/>
      <c r="J103" s="56" t="n"/>
      <c r="K103" s="57" t="n"/>
    </row>
    <row r="104" ht="18" customHeight="1" s="52">
      <c r="A104" s="67" t="inlineStr">
        <is>
          <t>Regla de gimnasio [LÓGICA], en semáforo (solo días con carga de rodilla: lunes y jueves): Retroceder si pasas de 3/10 durante o la mañana siguiente estás peor que la de la sesión; Mantener si cumple, pero el peor valor entre 24 y 48 h supera la referencia (no avanzas, pero no has fallado); Avanzar si cumple y el peor valor 24-48 h es igual o mejor que la referencia. Los días sin carga de rodilla no se evalúan («—»).</t>
        </is>
      </c>
      <c r="B104" s="56" t="n"/>
      <c r="C104" s="56" t="n"/>
      <c r="D104" s="56" t="n"/>
      <c r="E104" s="56" t="n"/>
      <c r="F104" s="56" t="n"/>
      <c r="G104" s="56" t="n"/>
      <c r="H104" s="56" t="n"/>
      <c r="I104" s="56" t="n"/>
      <c r="J104" s="56" t="n"/>
      <c r="K104" s="57" t="n"/>
    </row>
    <row r="105" ht="30.75" customHeight="1" s="52">
      <c r="A105" s="67" t="inlineStr">
        <is>
          <t>Regla de carrera [EVIDENCIA de uso], en semáforo (miércoles y domingo): Retroceder si pasas de 2/10 durante, no vuelves al nivel previo en ≤60 min o la mañana siguiente estás peor; Mantener si cumple, pero el peor valor 24-48 h supera la referencia; Avanzar si cumple y el peor valor 24-48 h ≤ referencia. El paseo de entrada se valida solo con la mañana siguiente. Se aplica también a las fases hacia el fútbol [LÓGICA].</t>
        </is>
      </c>
      <c r="B105" s="56" t="n"/>
      <c r="C105" s="56" t="n"/>
      <c r="D105" s="56" t="n"/>
      <c r="E105" s="56" t="n"/>
      <c r="F105" s="56" t="n"/>
      <c r="G105" s="56" t="n"/>
      <c r="H105" s="56" t="n"/>
      <c r="I105" s="56" t="n"/>
      <c r="J105" s="56" t="n"/>
      <c r="K105" s="57" t="n"/>
    </row>
    <row r="106" ht="30.75" customHeight="1" s="52">
      <c r="A106" s="67" t="inlineStr">
        <is>
          <t>Novedades [LÓGICA]: una por día y validada a las 24 y 48 h antes de repetirla. Lunes: escalón o reps (prensa) · miércoles: nivel de carrera · viernes de S4: bici. Solo si esa mañana estás igual o mejor. El calendario marca el máximo de cada semana; el nivel real sale del semáforo: Avanzar = nivel +1 (sin pasar del calendario), Mantener = el mismo, Retroceder = nivel −1. Lo validado se repite: el jueves usa la profundidad del lunes y el domingo repite el nivel del miércoles.</t>
        </is>
      </c>
      <c r="B106" s="56" t="n"/>
      <c r="C106" s="56" t="n"/>
      <c r="D106" s="56" t="n"/>
      <c r="E106" s="56" t="n"/>
      <c r="F106" s="56" t="n"/>
      <c r="G106" s="56" t="n"/>
      <c r="H106" s="56" t="n"/>
      <c r="I106" s="56" t="n"/>
      <c r="J106" s="56" t="n"/>
      <c r="K106" s="57" t="n"/>
    </row>
    <row r="107" ht="18" customHeight="1" s="52">
      <c r="A107" s="67" t="inlineStr">
        <is>
          <t>S2 = semana de referencia [LÓGICA]: el paseo del martes no cuenta como novedad (caminas a diario). Si alguna mañana de S2 sale peor que la referencia (la primera medición de S2), en S3 no sube nada y se repite S2 entera, en lugar de intentar atribuir el empeoramiento.</t>
        </is>
      </c>
      <c r="B107" s="56" t="n"/>
      <c r="C107" s="56" t="n"/>
      <c r="D107" s="56" t="n"/>
      <c r="E107" s="56" t="n"/>
      <c r="F107" s="56" t="n"/>
      <c r="G107" s="56" t="n"/>
      <c r="H107" s="56" t="n"/>
      <c r="I107" s="56" t="n"/>
      <c r="J107" s="56" t="n"/>
      <c r="K107" s="57" t="n"/>
    </row>
    <row r="108" ht="43.5" customHeight="1" s="52">
      <c r="A108" s="67" t="inlineStr">
        <is>
          <t>Escalones de profundidad de la D [LÓGICA; no hay pautas de rango validadas para la rótula: INCERTIDUMBRE]: escalón 0 = la profundidad que ya usas con la D; escalón 4 = la de la I. Reparte la diferencia en 4 partes iguales (como mucho ~15° cada una; si sale más, se termina después del bloque). Se sube, como mucho, los lunes de S3, S4, S6 y S7 en la prensa (según el semáforo); la touchdown del lunes va a la profundidad ya validada y hace de filtro. Apunta las marcas en «Seguimiento rodilla».</t>
        </is>
      </c>
      <c r="B108" s="56" t="n"/>
      <c r="C108" s="56" t="n"/>
      <c r="D108" s="56" t="n"/>
      <c r="E108" s="56" t="n"/>
      <c r="F108" s="56" t="n"/>
      <c r="G108" s="56" t="n"/>
      <c r="H108" s="56" t="n"/>
      <c r="I108" s="56" t="n"/>
      <c r="J108" s="56" t="n"/>
      <c r="K108" s="57" t="n"/>
    </row>
    <row r="109" ht="18" customHeight="1" s="52">
      <c r="A109" s="67" t="inlineStr">
        <is>
          <t>Chasquido: si no duele, no se quita ni se cambia nada. Si duele, cuenta como dolor.</t>
        </is>
      </c>
      <c r="B109" s="56" t="n"/>
      <c r="C109" s="56" t="n"/>
      <c r="D109" s="56" t="n"/>
      <c r="E109" s="56" t="n"/>
      <c r="F109" s="56" t="n"/>
      <c r="G109" s="56" t="n"/>
      <c r="H109" s="56" t="n"/>
      <c r="I109" s="56" t="n"/>
      <c r="J109" s="56" t="n"/>
      <c r="K109" s="57" t="n"/>
    </row>
    <row r="110" ht="18" customHeight="1" s="52">
      <c r="A110" s="67" t="inlineStr">
        <is>
          <t>Retroceso y brote [LÓGICA]: si una medición falla, se retrocede solo la última novedad anterior a ella (p. ej., jueves bien y viernes peor → se retrocede la carrera del miércoles y el escalón se mantiene); si tras el retroceso la siguiente medición vuelve a fallar, se retrocede la novedad anterior, y así hacia atrás. Si falla sin ninguna novedad reciente, o fallan dos sesiones seguidas: 48-72 h solo isométricos (sentadilla española 5×45 s diaria), y la bici si ya estaba introducida; luego se retoma un escalón por debajo en todo.</t>
        </is>
      </c>
      <c r="B110" s="56" t="n"/>
      <c r="C110" s="56" t="n"/>
      <c r="D110" s="56" t="n"/>
      <c r="E110" s="56" t="n"/>
      <c r="F110" s="56" t="n"/>
      <c r="G110" s="56" t="n"/>
      <c r="H110" s="56" t="n"/>
      <c r="I110" s="56" t="n"/>
      <c r="J110" s="56" t="n"/>
      <c r="K110" s="57" t="n"/>
    </row>
    <row r="111" ht="18" customHeight="1" s="52">
      <c r="A111" s="67" t="inlineStr">
        <is>
          <t>Alarma: bloqueo real, fallos repetidos de la rodilla o hinchazón visible → se para la progresión y toca valoración clínica.</t>
        </is>
      </c>
      <c r="B111" s="56" t="n"/>
      <c r="C111" s="56" t="n"/>
      <c r="D111" s="56" t="n"/>
      <c r="E111" s="56" t="n"/>
      <c r="F111" s="56" t="n"/>
      <c r="G111" s="56" t="n"/>
      <c r="H111" s="56" t="n"/>
      <c r="I111" s="56" t="n"/>
      <c r="J111" s="56" t="n"/>
      <c r="K111" s="57" t="n"/>
    </row>
    <row r="112" ht="30.75" customHeight="1" s="52">
      <c r="A112" s="67" t="inlineStr">
        <is>
          <t>AVISO S4 (fisio deportivo pendiente): se calcula al cerrar S4 (domingo 15/11) si hay al menos 5 mañanas registradas en S2 y en S4. Compara la media de las mañanas: PEOR si la de S4 supera en 0,5 o más a la de S2; MEJOR si queda 0,5 o más por debajo; si no, IGUAL. IGUAL o PEOR, o un chasquido que empieza a doler: la valoración del fisio pasa a ser prioritaria; PEOR además para la progresión [LÓGICA]. «Seguimiento rodilla» lo calcula.</t>
        </is>
      </c>
      <c r="B112" s="56" t="n"/>
      <c r="C112" s="56" t="n"/>
      <c r="D112" s="56" t="n"/>
      <c r="E112" s="56" t="n"/>
      <c r="F112" s="56" t="n"/>
      <c r="G112" s="56" t="n"/>
      <c r="H112" s="56" t="n"/>
      <c r="I112" s="56" t="n"/>
      <c r="J112" s="56" t="n"/>
      <c r="K112" s="57" t="n"/>
    </row>
    <row r="113" ht="30.75" customHeight="1" s="52">
      <c r="A113" s="67" t="inlineStr">
        <is>
          <t>Fases hacia el fútbol, después del viaje [LÓGICA], siempre con la regla de carrera: cambios de dirección ← 30 min seguidos dos veces sin reacción y rango D = I · pliometría ← 2 semanas de cambios de dirección y 10 saltos a una pierna sin dolor · balón ← cuádriceps D ≥90% de la I en el test y pliometría media sin reacción · equipo ← 2 semanas de balón sin reacción.</t>
        </is>
      </c>
      <c r="B113" s="56" t="n"/>
      <c r="C113" s="56" t="n"/>
      <c r="D113" s="56" t="n"/>
      <c r="E113" s="56" t="n"/>
      <c r="F113" s="56" t="n"/>
      <c r="G113" s="56" t="n"/>
      <c r="H113" s="56" t="n"/>
      <c r="I113" s="56" t="n"/>
      <c r="J113" s="56" t="n"/>
      <c r="K113" s="57" t="n"/>
    </row>
    <row r="114" ht="15.75" customHeight="1" s="52"/>
    <row r="115" ht="15.75" customHeight="1" s="52"/>
    <row r="116" ht="15.75" customHeight="1" s="52"/>
    <row r="117" ht="15.75" customHeight="1" s="52"/>
    <row r="118" ht="15.75" customHeight="1" s="52"/>
    <row r="119" ht="15.75" customHeight="1" s="52"/>
    <row r="120" ht="15.75" customHeight="1" s="52"/>
    <row r="121" ht="15.75" customHeight="1" s="52"/>
    <row r="122" ht="15.75" customHeight="1" s="52"/>
    <row r="123" ht="15.75" customHeight="1" s="52"/>
    <row r="124" ht="15.75" customHeight="1" s="52"/>
    <row r="125" ht="15.75" customHeight="1" s="52"/>
    <row r="126" ht="15.75" customHeight="1" s="52"/>
    <row r="127" ht="15.75" customHeight="1" s="52"/>
    <row r="128" ht="15.75" customHeight="1" s="52"/>
    <row r="129" ht="15.75" customHeight="1" s="52"/>
    <row r="130" ht="15.75" customHeight="1" s="52"/>
    <row r="131" ht="15.75" customHeight="1" s="52"/>
    <row r="132" ht="15.75" customHeight="1" s="52"/>
    <row r="133" ht="15.75" customHeight="1" s="52"/>
    <row r="134" ht="15.75" customHeight="1" s="52"/>
    <row r="135" ht="15.75" customHeight="1" s="52"/>
    <row r="136" ht="15.75" customHeight="1" s="52"/>
    <row r="137" ht="15.75" customHeight="1" s="52"/>
    <row r="138" ht="15.75" customHeight="1" s="52"/>
    <row r="139" ht="15.75" customHeight="1" s="52"/>
    <row r="140" ht="15.75" customHeight="1" s="52"/>
    <row r="141" ht="15.75" customHeight="1" s="52"/>
    <row r="142" ht="15.75" customHeight="1" s="52"/>
    <row r="143" ht="15.75" customHeight="1" s="52"/>
    <row r="144" ht="15.75" customHeight="1" s="52"/>
    <row r="145" ht="15.75" customHeight="1" s="52"/>
    <row r="146" ht="15.75" customHeight="1" s="52"/>
    <row r="147" ht="15.75" customHeight="1" s="52"/>
    <row r="148" ht="15.75" customHeight="1" s="52"/>
    <row r="149" ht="15.75" customHeight="1" s="52"/>
    <row r="150" ht="15.75" customHeight="1" s="52"/>
    <row r="151" ht="15.75" customHeight="1" s="52"/>
    <row r="152" ht="15.75" customHeight="1" s="52"/>
    <row r="153" ht="15.75" customHeight="1" s="52"/>
    <row r="154" ht="15.75" customHeight="1" s="52"/>
    <row r="155" ht="15.75" customHeight="1" s="52"/>
    <row r="156" ht="15.75" customHeight="1" s="52"/>
    <row r="157" ht="15.75" customHeight="1" s="52"/>
    <row r="158" ht="15.75" customHeight="1" s="52"/>
    <row r="159" ht="15.75" customHeight="1" s="52"/>
    <row r="160" ht="15.75" customHeight="1" s="52"/>
    <row r="161" ht="15.75" customHeight="1" s="52"/>
    <row r="162" ht="15.75" customHeight="1" s="52"/>
    <row r="163" ht="15.75" customHeight="1" s="52"/>
    <row r="164" ht="15.75" customHeight="1" s="52"/>
    <row r="165" ht="15.75" customHeight="1" s="52"/>
    <row r="166" ht="15.75" customHeight="1" s="52"/>
    <row r="167" ht="15.75" customHeight="1" s="52"/>
    <row r="168" ht="15.75" customHeight="1" s="52"/>
    <row r="169" ht="15.75" customHeight="1" s="52"/>
    <row r="170" ht="15.75" customHeight="1" s="52"/>
    <row r="171" ht="15.75" customHeight="1" s="52"/>
    <row r="172" ht="15.75" customHeight="1" s="52"/>
    <row r="173" ht="15.75" customHeight="1" s="52"/>
    <row r="174" ht="15.75" customHeight="1" s="52"/>
    <row r="175" ht="15.75" customHeight="1" s="52"/>
    <row r="176" ht="15.75" customHeight="1" s="52"/>
    <row r="177" ht="15.75" customHeight="1" s="52"/>
    <row r="178" ht="15.75" customHeight="1" s="52"/>
    <row r="179" ht="15.75" customHeight="1" s="52"/>
    <row r="180" ht="15.75" customHeight="1" s="52"/>
    <row r="181" ht="15.75" customHeight="1" s="52"/>
    <row r="182" ht="15.75" customHeight="1" s="52"/>
    <row r="183" ht="15.75" customHeight="1" s="52"/>
    <row r="184" ht="15.75" customHeight="1" s="52"/>
    <row r="185" ht="15.75" customHeight="1" s="52"/>
    <row r="186" ht="15.75" customHeight="1" s="52"/>
    <row r="187" ht="15.75" customHeight="1" s="52"/>
    <row r="188" ht="15.75" customHeight="1" s="52"/>
    <row r="189" ht="15.75" customHeight="1" s="52"/>
    <row r="190" ht="15.75" customHeight="1" s="52"/>
    <row r="191" ht="15.75" customHeight="1" s="52"/>
    <row r="192" ht="15.75" customHeight="1" s="52"/>
    <row r="193" ht="15.75" customHeight="1" s="52"/>
    <row r="194" ht="15.75" customHeight="1" s="52"/>
    <row r="195" ht="15.75" customHeight="1" s="52"/>
    <row r="196" ht="15.75" customHeight="1" s="52"/>
    <row r="197" ht="15.75" customHeight="1" s="52"/>
    <row r="198" ht="15.75" customHeight="1" s="52"/>
    <row r="199" ht="15.75" customHeight="1" s="52"/>
    <row r="200" ht="15.75" customHeight="1" s="52"/>
    <row r="201" ht="15.75" customHeight="1" s="52"/>
    <row r="202" ht="15.75" customHeight="1" s="52"/>
    <row r="203" ht="15.75" customHeight="1" s="52"/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  <row r="1000" ht="15.75" customHeight="1" s="52"/>
    <row r="1001" ht="15.75" customHeight="1" s="52"/>
    <row r="1002" ht="15.75" customHeight="1" s="52"/>
    <row r="1003" ht="15.75" customHeight="1" s="52"/>
    <row r="1004" ht="15.75" customHeight="1" s="52"/>
    <row r="1005" ht="15.75" customHeight="1" s="52"/>
    <row r="1006" ht="15.75" customHeight="1" s="52"/>
    <row r="1007" ht="15.75" customHeight="1" s="52"/>
    <row r="1008" ht="15.75" customHeight="1" s="52"/>
    <row r="1009" ht="15" customHeight="1" s="52"/>
    <row r="1010" ht="15" customHeight="1" s="52"/>
    <row r="1011" ht="15" customHeight="1" s="52"/>
    <row r="1012" ht="15" customHeight="1" s="52"/>
    <row r="1013" ht="15" customHeight="1" s="52"/>
    <row r="1014" ht="15" customHeight="1" s="52"/>
  </sheetData>
  <mergeCells count="29">
    <mergeCell ref="A64:K64"/>
    <mergeCell ref="A107:K107"/>
    <mergeCell ref="A1:K1"/>
    <mergeCell ref="A103:K103"/>
    <mergeCell ref="A110:K110"/>
    <mergeCell ref="A69:K69"/>
    <mergeCell ref="A108:K108"/>
    <mergeCell ref="A66:K66"/>
    <mergeCell ref="A105:K105"/>
    <mergeCell ref="A101:K101"/>
    <mergeCell ref="A55:K55"/>
    <mergeCell ref="A104:K104"/>
    <mergeCell ref="A113:K113"/>
    <mergeCell ref="A2:K2"/>
    <mergeCell ref="A33:K33"/>
    <mergeCell ref="A71:K71"/>
    <mergeCell ref="A85:K85"/>
    <mergeCell ref="A14:K14"/>
    <mergeCell ref="A23:K23"/>
    <mergeCell ref="A106:K106"/>
    <mergeCell ref="A67:K67"/>
    <mergeCell ref="A4:K4"/>
    <mergeCell ref="A109:K109"/>
    <mergeCell ref="A112:K112"/>
    <mergeCell ref="A93:K93"/>
    <mergeCell ref="A68:K68"/>
    <mergeCell ref="A44:K44"/>
    <mergeCell ref="A102:K102"/>
    <mergeCell ref="A111:K111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Q1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1" customWidth="1" style="51" min="1" max="1"/>
    <col width="5" customWidth="1" style="51" min="2" max="2"/>
    <col width="6" customWidth="1" style="51" min="3" max="3"/>
    <col width="36" customWidth="1" style="51" min="4" max="4"/>
    <col width="16" customWidth="1" style="51" min="5" max="5"/>
    <col width="30" customWidth="1" style="51" min="6" max="6"/>
    <col width="10" customWidth="1" style="51" min="7" max="7"/>
    <col width="11" customWidth="1" style="51" min="8" max="8"/>
    <col width="10" customWidth="1" style="51" min="9" max="10"/>
    <col width="13" customWidth="1" style="51" min="11" max="11"/>
    <col width="12" customWidth="1" style="51" min="12" max="12"/>
    <col width="8" customWidth="1" style="51" min="13" max="14"/>
    <col width="10" customWidth="1" style="51" min="15" max="15"/>
    <col width="13" customWidth="1" style="51" min="16" max="16"/>
    <col width="42" customWidth="1" style="51" min="17" max="17"/>
  </cols>
  <sheetData>
    <row r="1" ht="19.5" customHeight="1" s="52">
      <c r="A1" s="65" t="inlineStr">
        <is>
          <t>Seguimiento rodilla · S2-S10 (26/10 – 27/12)</t>
        </is>
      </c>
      <c r="B1" s="56" t="n"/>
      <c r="C1" s="56" t="n"/>
      <c r="D1" s="56" t="n"/>
      <c r="E1" s="56" t="n"/>
      <c r="F1" s="56" t="n"/>
      <c r="G1" s="56" t="n"/>
      <c r="H1" s="56" t="n"/>
      <c r="I1" s="56" t="n"/>
      <c r="J1" s="56" t="n"/>
      <c r="K1" s="56" t="n"/>
      <c r="L1" s="56" t="n"/>
      <c r="M1" s="56" t="n"/>
      <c r="N1" s="56" t="n"/>
      <c r="O1" s="56" t="n"/>
      <c r="P1" s="56" t="n"/>
      <c r="Q1" s="57" t="n"/>
    </row>
    <row r="2" ht="63.75" customHeight="1" s="52">
      <c r="A2" s="73" t="inlineStr">
        <is>
          <t>Cada mañana, en casa y antes de nada: test en declive y 10 subidas con la D al mismo escalón o banco (0-10) → columnas G y H; si falta, ese día no se evalúa y la primera medición disponible hace de referencia. Después de la sesión: molestia máxima durante (J); en carrera, si vuelves al nivel previo en ≤60 min (K); y si el chasquido dolió (L). El resto se calcula solo: 24 h y 48 h salen de las mañanas siguientes, y el semáforo (P) da «Retroceder» (más de 3/10 en gimnasio o 2/10 en carrera, no vuelves al nivel previo, o la mañana siguiente peor), «Mantener» (cumple, pero el peor valor 24-48 h supera la referencia: la mañana del día de la sesión) o «Avanzar». Solo se evalúan los días con carga de rodilla (regla distinta de «—»). «Novedad» trae lo planificado: si no la aplicas porque esa mañana estabas peor, cámbiala por «ninguna». Las celdas amarillas son para rellenar.</t>
        </is>
      </c>
      <c r="B2" s="56" t="n"/>
      <c r="C2" s="56" t="n"/>
      <c r="D2" s="56" t="n"/>
      <c r="E2" s="56" t="n"/>
      <c r="F2" s="56" t="n"/>
      <c r="G2" s="56" t="n"/>
      <c r="H2" s="56" t="n"/>
      <c r="I2" s="56" t="n"/>
      <c r="J2" s="56" t="n"/>
      <c r="K2" s="56" t="n"/>
      <c r="L2" s="56" t="n"/>
      <c r="M2" s="56" t="n"/>
      <c r="N2" s="56" t="n"/>
      <c r="O2" s="56" t="n"/>
      <c r="P2" s="56" t="n"/>
      <c r="Q2" s="57" t="n"/>
    </row>
    <row r="3" ht="19.5" customHeight="1" s="52">
      <c r="A3" s="65" t="inlineStr">
        <is>
          <t>Registro diario</t>
        </is>
      </c>
      <c r="B3" s="56" t="n"/>
      <c r="C3" s="56" t="n"/>
      <c r="D3" s="56" t="n"/>
      <c r="E3" s="56" t="n"/>
      <c r="F3" s="56" t="n"/>
      <c r="G3" s="56" t="n"/>
      <c r="H3" s="56" t="n"/>
      <c r="I3" s="56" t="n"/>
      <c r="J3" s="56" t="n"/>
      <c r="K3" s="56" t="n"/>
      <c r="L3" s="56" t="n"/>
      <c r="M3" s="56" t="n"/>
      <c r="N3" s="56" t="n"/>
      <c r="O3" s="56" t="n"/>
      <c r="P3" s="56" t="n"/>
      <c r="Q3" s="57" t="n"/>
    </row>
    <row r="4" ht="42" customHeight="1" s="52">
      <c r="A4" s="84" t="inlineStr">
        <is>
          <t>Fecha</t>
        </is>
      </c>
      <c r="B4" s="84" t="inlineStr">
        <is>
          <t>Día</t>
        </is>
      </c>
      <c r="C4" s="84" t="inlineStr">
        <is>
          <t>Sem</t>
        </is>
      </c>
      <c r="D4" s="84" t="inlineStr">
        <is>
          <t>Sesión (plan)</t>
        </is>
      </c>
      <c r="E4" s="84" t="inlineStr">
        <is>
          <t>Regla</t>
        </is>
      </c>
      <c r="F4" s="84" t="inlineStr">
        <is>
          <t>Novedad del día (plan)</t>
        </is>
      </c>
      <c r="G4" s="84" t="inlineStr">
        <is>
          <t>Mañana: declive (0-10)</t>
        </is>
      </c>
      <c r="H4" s="84" t="inlineStr">
        <is>
          <t>Mañana: 10 subidas D (0-10)</t>
        </is>
      </c>
      <c r="I4" s="84" t="inlineStr">
        <is>
          <t>Molestia mañana (auto)</t>
        </is>
      </c>
      <c r="J4" s="84" t="inlineStr">
        <is>
          <t>Durante (0-10)</t>
        </is>
      </c>
      <c r="K4" s="84" t="inlineStr">
        <is>
          <t>Nivel previo en ≤60 min (carrera)</t>
        </is>
      </c>
      <c r="L4" s="84" t="inlineStr">
        <is>
          <t>Chasquido doloroso</t>
        </is>
      </c>
      <c r="M4" s="84" t="inlineStr">
        <is>
          <t>24 h (auto)</t>
        </is>
      </c>
      <c r="N4" s="84" t="inlineStr">
        <is>
          <t>48 h (auto)</t>
        </is>
      </c>
      <c r="O4" s="84" t="inlineStr">
        <is>
          <t>Peor 24-48 h (auto)</t>
        </is>
      </c>
      <c r="P4" s="84" t="inlineStr">
        <is>
          <t>Semáforo (auto)</t>
        </is>
      </c>
      <c r="Q4" s="84" t="inlineStr">
        <is>
          <t>Notas</t>
        </is>
      </c>
    </row>
    <row r="5" ht="27" customHeight="1" s="52">
      <c r="A5" s="85" t="n">
        <v>46321</v>
      </c>
      <c r="B5" s="86" t="inlineStr">
        <is>
          <t>L</t>
        </is>
      </c>
      <c r="C5" s="87" t="inlineStr">
        <is>
          <t>S2</t>
        </is>
      </c>
      <c r="D5" s="88" t="inlineStr">
        <is>
          <t>Rehab: touchdown + prensa (pesado) + abducción · laterales/gemelo/isquio</t>
        </is>
      </c>
      <c r="E5" s="89" t="inlineStr">
        <is>
          <t>Gimnasio (≤3/10)</t>
        </is>
      </c>
      <c r="F5" s="90" t="inlineStr">
        <is>
          <t>Reps x10 (prensa)</t>
        </is>
      </c>
      <c r="G5" s="91" t="n"/>
      <c r="H5" s="91" t="n"/>
      <c r="I5" s="92">
        <f>IF(COUNT(G5,H5)=0,"",MAX(G5,H5))</f>
        <v/>
      </c>
      <c r="J5" s="91" t="n"/>
      <c r="K5" s="91" t="n"/>
      <c r="L5" s="91" t="n"/>
      <c r="M5" s="92">
        <f>IF(I6="","",I6)</f>
        <v/>
      </c>
      <c r="N5" s="92">
        <f>IF(I7="","",I7)</f>
        <v/>
      </c>
      <c r="O5" s="92">
        <f>IF(OR(M5="",N5=""),"",MAX(M5,N5))</f>
        <v/>
      </c>
      <c r="P5" s="93">
        <f>IF($E5="—","—",IF($J5="","",IF($I5="","sin referencia",IF(AND($E5="Carrera (≤2/10)",$K5=""),"falta K",IF(OR($J5&gt;IF($E5="Carrera (≤2/10)",2,3),AND($E5="Carrera (≤2/10)",$K5="No")),"Retroceder",IF($M5="","pendiente",IF($M5&gt;$I5,"Retroceder",IF($N5="","pendiente",IF($O5&lt;=$I5,"Avanzar","Mantener")))))))))</f>
        <v/>
      </c>
      <c r="Q5" s="94" t="n"/>
    </row>
    <row r="6" ht="27" customHeight="1" s="52">
      <c r="A6" s="85" t="n">
        <v>46322</v>
      </c>
      <c r="B6" s="86" t="inlineStr">
        <is>
          <t>M</t>
        </is>
      </c>
      <c r="C6" s="87" t="inlineStr">
        <is>
          <t>S2</t>
        </is>
      </c>
      <c r="D6" s="88" t="inlineStr">
        <is>
          <t>Push + paseo 30' (entrada)</t>
        </is>
      </c>
      <c r="E6" s="89" t="inlineStr">
        <is>
          <t>—</t>
        </is>
      </c>
      <c r="F6" s="90" t="inlineStr">
        <is>
          <t>Paseo 30' (criterio 1)</t>
        </is>
      </c>
      <c r="G6" s="91" t="n"/>
      <c r="H6" s="91" t="n"/>
      <c r="I6" s="92">
        <f>IF(COUNT(G6,H6)=0,"",MAX(G6,H6))</f>
        <v/>
      </c>
      <c r="J6" s="91" t="n"/>
      <c r="K6" s="91" t="n"/>
      <c r="L6" s="91" t="n"/>
      <c r="M6" s="92">
        <f>IF(I7="","",I7)</f>
        <v/>
      </c>
      <c r="N6" s="92">
        <f>IF(I8="","",I8)</f>
        <v/>
      </c>
      <c r="O6" s="92">
        <f>IF(OR(M6="",N6=""),"",MAX(M6,N6))</f>
        <v/>
      </c>
      <c r="P6" s="93">
        <f>IF($E6="—","—",IF($J6="","",IF($I6="","sin referencia",IF(AND($E6="Carrera (≤2/10)",$K6=""),"falta K",IF(OR($J6&gt;IF($E6="Carrera (≤2/10)",2,3),AND($E6="Carrera (≤2/10)",$K6="No")),"Retroceder",IF($M6="","pendiente",IF($M6&gt;$I6,"Retroceder",IF($N6="","pendiente",IF($O6&lt;=$I6,"Avanzar","Mantener")))))))))</f>
        <v/>
      </c>
      <c r="Q6" s="94" t="n"/>
    </row>
    <row r="7" ht="27" customHeight="1" s="52">
      <c r="A7" s="85" t="n">
        <v>46323</v>
      </c>
      <c r="B7" s="86" t="inlineStr">
        <is>
          <t>X</t>
        </is>
      </c>
      <c r="C7" s="87" t="inlineStr">
        <is>
          <t>S2</t>
        </is>
      </c>
      <c r="D7" s="88" t="inlineStr">
        <is>
          <t>Pull + criterios 2-3 + 1.ª carrera</t>
        </is>
      </c>
      <c r="E7" s="89" t="inlineStr">
        <is>
          <t>Carrera (≤2/10)</t>
        </is>
      </c>
      <c r="F7" s="90" t="inlineStr">
        <is>
          <t>Criterios 2-3 + carrera N1</t>
        </is>
      </c>
      <c r="G7" s="91" t="n"/>
      <c r="H7" s="91" t="n"/>
      <c r="I7" s="92">
        <f>IF(COUNT(G7,H7)=0,"",MAX(G7,H7))</f>
        <v/>
      </c>
      <c r="J7" s="91" t="n"/>
      <c r="K7" s="91" t="n"/>
      <c r="L7" s="91" t="n"/>
      <c r="M7" s="92">
        <f>IF(I8="","",I8)</f>
        <v/>
      </c>
      <c r="N7" s="92">
        <f>IF(I9="","",I9)</f>
        <v/>
      </c>
      <c r="O7" s="92">
        <f>IF(OR(M7="",N7=""),"",MAX(M7,N7))</f>
        <v/>
      </c>
      <c r="P7" s="93">
        <f>IF($E7="—","—",IF($J7="","",IF($I7="","sin referencia",IF(AND($E7="Carrera (≤2/10)",$K7=""),"falta K",IF(OR($J7&gt;IF($E7="Carrera (≤2/10)",2,3),AND($E7="Carrera (≤2/10)",$K7="No")),"Retroceder",IF($M7="","pendiente",IF($M7&gt;$I7,"Retroceder",IF($N7="","pendiente",IF($O7&lt;=$I7,"Avanzar","Mantener")))))))))</f>
        <v/>
      </c>
      <c r="Q7" s="94" t="n"/>
    </row>
    <row r="8" ht="27" customHeight="1" s="52">
      <c r="A8" s="85" t="n">
        <v>46324</v>
      </c>
      <c r="B8" s="86" t="inlineStr">
        <is>
          <t>J</t>
        </is>
      </c>
      <c r="C8" s="87" t="inlineStr">
        <is>
          <t>S2</t>
        </is>
      </c>
      <c r="D8" s="88" t="inlineStr">
        <is>
          <t>Test + rehab: sentadilla + búlgara (pesado) + abducción · isquio/aductor/gemelo</t>
        </is>
      </c>
      <c r="E8" s="89" t="inlineStr">
        <is>
          <t>Gimnasio (≤3/10)</t>
        </is>
      </c>
      <c r="F8" s="90" t="inlineStr">
        <is>
          <t>Test de fuerza 1 (nuevo)</t>
        </is>
      </c>
      <c r="G8" s="91" t="n"/>
      <c r="H8" s="91" t="n"/>
      <c r="I8" s="92">
        <f>IF(COUNT(G8,H8)=0,"",MAX(G8,H8))</f>
        <v/>
      </c>
      <c r="J8" s="91" t="n"/>
      <c r="K8" s="91" t="n"/>
      <c r="L8" s="91" t="n"/>
      <c r="M8" s="92">
        <f>IF(I9="","",I9)</f>
        <v/>
      </c>
      <c r="N8" s="92">
        <f>IF(I10="","",I10)</f>
        <v/>
      </c>
      <c r="O8" s="92">
        <f>IF(OR(M8="",N8=""),"",MAX(M8,N8))</f>
        <v/>
      </c>
      <c r="P8" s="93">
        <f>IF($E8="—","—",IF($J8="","",IF($I8="","sin referencia",IF(AND($E8="Carrera (≤2/10)",$K8=""),"falta K",IF(OR($J8&gt;IF($E8="Carrera (≤2/10)",2,3),AND($E8="Carrera (≤2/10)",$K8="No")),"Retroceder",IF($M8="","pendiente",IF($M8&gt;$I8,"Retroceder",IF($N8="","pendiente",IF($O8&lt;=$I8,"Avanzar","Mantener")))))))))</f>
        <v/>
      </c>
      <c r="Q8" s="94" t="n"/>
    </row>
    <row r="9" ht="27" customHeight="1" s="52">
      <c r="A9" s="85" t="n">
        <v>46325</v>
      </c>
      <c r="B9" s="86" t="inlineStr">
        <is>
          <t>V</t>
        </is>
      </c>
      <c r="C9" s="87" t="inlineStr">
        <is>
          <t>S2</t>
        </is>
      </c>
      <c r="D9" s="88" t="inlineStr">
        <is>
          <t>Torso</t>
        </is>
      </c>
      <c r="E9" s="89" t="inlineStr">
        <is>
          <t>—</t>
        </is>
      </c>
      <c r="F9" s="90" t="inlineStr">
        <is>
          <t>—</t>
        </is>
      </c>
      <c r="G9" s="91" t="n"/>
      <c r="H9" s="91" t="n"/>
      <c r="I9" s="92">
        <f>IF(COUNT(G9,H9)=0,"",MAX(G9,H9))</f>
        <v/>
      </c>
      <c r="J9" s="91" t="n"/>
      <c r="K9" s="91" t="n"/>
      <c r="L9" s="91" t="n"/>
      <c r="M9" s="92">
        <f>IF(I10="","",I10)</f>
        <v/>
      </c>
      <c r="N9" s="92">
        <f>IF(I11="","",I11)</f>
        <v/>
      </c>
      <c r="O9" s="92">
        <f>IF(OR(M9="",N9=""),"",MAX(M9,N9))</f>
        <v/>
      </c>
      <c r="P9" s="93">
        <f>IF($E9="—","—",IF($J9="","",IF($I9="","sin referencia",IF(AND($E9="Carrera (≤2/10)",$K9=""),"falta K",IF(OR($J9&gt;IF($E9="Carrera (≤2/10)",2,3),AND($E9="Carrera (≤2/10)",$K9="No")),"Retroceder",IF($M9="","pendiente",IF($M9&gt;$I9,"Retroceder",IF($N9="","pendiente",IF($O9&lt;=$I9,"Avanzar","Mantener")))))))))</f>
        <v/>
      </c>
      <c r="Q9" s="94" t="n"/>
    </row>
    <row r="10" ht="27" customHeight="1" s="52">
      <c r="A10" s="85" t="n">
        <v>46326</v>
      </c>
      <c r="B10" s="86" t="inlineStr">
        <is>
          <t>S</t>
        </is>
      </c>
      <c r="C10" s="87" t="inlineStr">
        <is>
          <t>S2</t>
        </is>
      </c>
      <c r="D10" s="88" t="inlineStr">
        <is>
          <t>Hombro/codo + abdominales (sin pierna)</t>
        </is>
      </c>
      <c r="E10" s="89" t="inlineStr">
        <is>
          <t>—</t>
        </is>
      </c>
      <c r="F10" s="90" t="inlineStr">
        <is>
          <t>—</t>
        </is>
      </c>
      <c r="G10" s="91" t="n"/>
      <c r="H10" s="91" t="n"/>
      <c r="I10" s="92">
        <f>IF(COUNT(G10,H10)=0,"",MAX(G10,H10))</f>
        <v/>
      </c>
      <c r="J10" s="91" t="n"/>
      <c r="K10" s="91" t="n"/>
      <c r="L10" s="91" t="n"/>
      <c r="M10" s="92">
        <f>IF(I11="","",I11)</f>
        <v/>
      </c>
      <c r="N10" s="92">
        <f>IF(I12="","",I12)</f>
        <v/>
      </c>
      <c r="O10" s="92">
        <f>IF(OR(M10="",N10=""),"",MAX(M10,N10))</f>
        <v/>
      </c>
      <c r="P10" s="93">
        <f>IF($E10="—","—",IF($J10="","",IF($I10="","sin referencia",IF(AND($E10="Carrera (≤2/10)",$K10=""),"falta K",IF(OR($J10&gt;IF($E10="Carrera (≤2/10)",2,3),AND($E10="Carrera (≤2/10)",$K10="No")),"Retroceder",IF($M10="","pendiente",IF($M10&gt;$I10,"Retroceder",IF($N10="","pendiente",IF($O10&lt;=$I10,"Avanzar","Mantener")))))))))</f>
        <v/>
      </c>
      <c r="Q10" s="94" t="n"/>
    </row>
    <row r="11" ht="27" customHeight="1" s="52">
      <c r="A11" s="85" t="n">
        <v>46327</v>
      </c>
      <c r="B11" s="86" t="inlineStr">
        <is>
          <t>D</t>
        </is>
      </c>
      <c r="C11" s="87" t="inlineStr">
        <is>
          <t>S2</t>
        </is>
      </c>
      <c r="D11" s="88" t="inlineStr">
        <is>
          <t>Carrera (repite el miércoles)</t>
        </is>
      </c>
      <c r="E11" s="89" t="inlineStr">
        <is>
          <t>Carrera (≤2/10)</t>
        </is>
      </c>
      <c r="F11" s="90" t="inlineStr">
        <is>
          <t>— (repite)</t>
        </is>
      </c>
      <c r="G11" s="91" t="n"/>
      <c r="H11" s="91" t="n"/>
      <c r="I11" s="92">
        <f>IF(COUNT(G11,H11)=0,"",MAX(G11,H11))</f>
        <v/>
      </c>
      <c r="J11" s="91" t="n"/>
      <c r="K11" s="91" t="n"/>
      <c r="L11" s="91" t="n"/>
      <c r="M11" s="92">
        <f>IF(I12="","",I12)</f>
        <v/>
      </c>
      <c r="N11" s="92">
        <f>IF(I13="","",I13)</f>
        <v/>
      </c>
      <c r="O11" s="92">
        <f>IF(OR(M11="",N11=""),"",MAX(M11,N11))</f>
        <v/>
      </c>
      <c r="P11" s="93">
        <f>IF($E11="—","—",IF($J11="","",IF($I11="","sin referencia",IF(AND($E11="Carrera (≤2/10)",$K11=""),"falta K",IF(OR($J11&gt;IF($E11="Carrera (≤2/10)",2,3),AND($E11="Carrera (≤2/10)",$K11="No")),"Retroceder",IF($M11="","pendiente",IF($M11&gt;$I11,"Retroceder",IF($N11="","pendiente",IF($O11&lt;=$I11,"Avanzar","Mantener")))))))))</f>
        <v/>
      </c>
      <c r="Q11" s="94" t="n"/>
    </row>
    <row r="12" ht="27" customHeight="1" s="52">
      <c r="A12" s="95" t="n">
        <v>46328</v>
      </c>
      <c r="B12" s="96" t="inlineStr">
        <is>
          <t>L</t>
        </is>
      </c>
      <c r="C12" s="97" t="inlineStr">
        <is>
          <t>S3</t>
        </is>
      </c>
      <c r="D12" s="98" t="inlineStr">
        <is>
          <t>Rehab: touchdown + prensa (pesado) + abducción · laterales/gemelo/isquio</t>
        </is>
      </c>
      <c r="E12" s="99" t="inlineStr">
        <is>
          <t>Gimnasio (≤3/10)</t>
        </is>
      </c>
      <c r="F12" s="100" t="inlineStr">
        <is>
          <t>Escalón +1 (prensa)</t>
        </is>
      </c>
      <c r="G12" s="91" t="n"/>
      <c r="H12" s="91" t="n"/>
      <c r="I12" s="92">
        <f>IF(COUNT(G12,H12)=0,"",MAX(G12,H12))</f>
        <v/>
      </c>
      <c r="J12" s="91" t="n"/>
      <c r="K12" s="91" t="n"/>
      <c r="L12" s="91" t="n"/>
      <c r="M12" s="92">
        <f>IF(I13="","",I13)</f>
        <v/>
      </c>
      <c r="N12" s="92">
        <f>IF(I14="","",I14)</f>
        <v/>
      </c>
      <c r="O12" s="92">
        <f>IF(OR(M12="",N12=""),"",MAX(M12,N12))</f>
        <v/>
      </c>
      <c r="P12" s="93">
        <f>IF($E12="—","—",IF($J12="","",IF($I12="","sin referencia",IF(AND($E12="Carrera (≤2/10)",$K12=""),"falta K",IF(OR($J12&gt;IF($E12="Carrera (≤2/10)",2,3),AND($E12="Carrera (≤2/10)",$K12="No")),"Retroceder",IF($M12="","pendiente",IF($M12&gt;$I12,"Retroceder",IF($N12="","pendiente",IF($O12&lt;=$I12,"Avanzar","Mantener")))))))))</f>
        <v/>
      </c>
      <c r="Q12" s="94" t="n"/>
    </row>
    <row r="13" ht="27" customHeight="1" s="52">
      <c r="A13" s="95" t="n">
        <v>46329</v>
      </c>
      <c r="B13" s="96" t="inlineStr">
        <is>
          <t>M</t>
        </is>
      </c>
      <c r="C13" s="97" t="inlineStr">
        <is>
          <t>S3</t>
        </is>
      </c>
      <c r="D13" s="98" t="inlineStr">
        <is>
          <t>Push</t>
        </is>
      </c>
      <c r="E13" s="99" t="inlineStr">
        <is>
          <t>—</t>
        </is>
      </c>
      <c r="F13" s="100" t="inlineStr">
        <is>
          <t>—</t>
        </is>
      </c>
      <c r="G13" s="91" t="n"/>
      <c r="H13" s="91" t="n"/>
      <c r="I13" s="92">
        <f>IF(COUNT(G13,H13)=0,"",MAX(G13,H13))</f>
        <v/>
      </c>
      <c r="J13" s="91" t="n"/>
      <c r="K13" s="91" t="n"/>
      <c r="L13" s="91" t="n"/>
      <c r="M13" s="92">
        <f>IF(I14="","",I14)</f>
        <v/>
      </c>
      <c r="N13" s="92">
        <f>IF(I15="","",I15)</f>
        <v/>
      </c>
      <c r="O13" s="92">
        <f>IF(OR(M13="",N13=""),"",MAX(M13,N13))</f>
        <v/>
      </c>
      <c r="P13" s="93">
        <f>IF($E13="—","—",IF($J13="","",IF($I13="","sin referencia",IF(AND($E13="Carrera (≤2/10)",$K13=""),"falta K",IF(OR($J13&gt;IF($E13="Carrera (≤2/10)",2,3),AND($E13="Carrera (≤2/10)",$K13="No")),"Retroceder",IF($M13="","pendiente",IF($M13&gt;$I13,"Retroceder",IF($N13="","pendiente",IF($O13&lt;=$I13,"Avanzar","Mantener")))))))))</f>
        <v/>
      </c>
      <c r="Q13" s="94" t="n"/>
    </row>
    <row r="14" ht="27" customHeight="1" s="52">
      <c r="A14" s="95" t="n">
        <v>46330</v>
      </c>
      <c r="B14" s="96" t="inlineStr">
        <is>
          <t>X</t>
        </is>
      </c>
      <c r="C14" s="97" t="inlineStr">
        <is>
          <t>S3</t>
        </is>
      </c>
      <c r="D14" s="98" t="inlineStr">
        <is>
          <t>Pull + carrera</t>
        </is>
      </c>
      <c r="E14" s="99" t="inlineStr">
        <is>
          <t>Carrera (≤2/10)</t>
        </is>
      </c>
      <c r="F14" s="100" t="inlineStr">
        <is>
          <t>Carrera N2</t>
        </is>
      </c>
      <c r="G14" s="91" t="n"/>
      <c r="H14" s="91" t="n"/>
      <c r="I14" s="92">
        <f>IF(COUNT(G14,H14)=0,"",MAX(G14,H14))</f>
        <v/>
      </c>
      <c r="J14" s="91" t="n"/>
      <c r="K14" s="91" t="n"/>
      <c r="L14" s="91" t="n"/>
      <c r="M14" s="92">
        <f>IF(I15="","",I15)</f>
        <v/>
      </c>
      <c r="N14" s="92">
        <f>IF(I16="","",I16)</f>
        <v/>
      </c>
      <c r="O14" s="92">
        <f>IF(OR(M14="",N14=""),"",MAX(M14,N14))</f>
        <v/>
      </c>
      <c r="P14" s="93">
        <f>IF($E14="—","—",IF($J14="","",IF($I14="","sin referencia",IF(AND($E14="Carrera (≤2/10)",$K14=""),"falta K",IF(OR($J14&gt;IF($E14="Carrera (≤2/10)",2,3),AND($E14="Carrera (≤2/10)",$K14="No")),"Retroceder",IF($M14="","pendiente",IF($M14&gt;$I14,"Retroceder",IF($N14="","pendiente",IF($O14&lt;=$I14,"Avanzar","Mantener")))))))))</f>
        <v/>
      </c>
      <c r="Q14" s="94" t="n"/>
    </row>
    <row r="15" ht="27" customHeight="1" s="52">
      <c r="A15" s="95" t="n">
        <v>46331</v>
      </c>
      <c r="B15" s="96" t="inlineStr">
        <is>
          <t>J</t>
        </is>
      </c>
      <c r="C15" s="97" t="inlineStr">
        <is>
          <t>S3</t>
        </is>
      </c>
      <c r="D15" s="98" t="inlineStr">
        <is>
          <t>rehab: sentadilla + búlgara (pesado) + abducción · isquio/aductor/gemelo</t>
        </is>
      </c>
      <c r="E15" s="99" t="inlineStr">
        <is>
          <t>Gimnasio (≤3/10)</t>
        </is>
      </c>
      <c r="F15" s="100" t="inlineStr">
        <is>
          <t>—</t>
        </is>
      </c>
      <c r="G15" s="91" t="n"/>
      <c r="H15" s="91" t="n"/>
      <c r="I15" s="92">
        <f>IF(COUNT(G15,H15)=0,"",MAX(G15,H15))</f>
        <v/>
      </c>
      <c r="J15" s="91" t="n"/>
      <c r="K15" s="91" t="n"/>
      <c r="L15" s="91" t="n"/>
      <c r="M15" s="92">
        <f>IF(I16="","",I16)</f>
        <v/>
      </c>
      <c r="N15" s="92">
        <f>IF(I17="","",I17)</f>
        <v/>
      </c>
      <c r="O15" s="92">
        <f>IF(OR(M15="",N15=""),"",MAX(M15,N15))</f>
        <v/>
      </c>
      <c r="P15" s="93">
        <f>IF($E15="—","—",IF($J15="","",IF($I15="","sin referencia",IF(AND($E15="Carrera (≤2/10)",$K15=""),"falta K",IF(OR($J15&gt;IF($E15="Carrera (≤2/10)",2,3),AND($E15="Carrera (≤2/10)",$K15="No")),"Retroceder",IF($M15="","pendiente",IF($M15&gt;$I15,"Retroceder",IF($N15="","pendiente",IF($O15&lt;=$I15,"Avanzar","Mantener")))))))))</f>
        <v/>
      </c>
      <c r="Q15" s="94" t="n"/>
    </row>
    <row r="16" ht="27" customHeight="1" s="52">
      <c r="A16" s="95" t="n">
        <v>46332</v>
      </c>
      <c r="B16" s="96" t="inlineStr">
        <is>
          <t>V</t>
        </is>
      </c>
      <c r="C16" s="97" t="inlineStr">
        <is>
          <t>S3</t>
        </is>
      </c>
      <c r="D16" s="98" t="inlineStr">
        <is>
          <t>Torso</t>
        </is>
      </c>
      <c r="E16" s="99" t="inlineStr">
        <is>
          <t>—</t>
        </is>
      </c>
      <c r="F16" s="100" t="inlineStr">
        <is>
          <t>—</t>
        </is>
      </c>
      <c r="G16" s="91" t="n"/>
      <c r="H16" s="91" t="n"/>
      <c r="I16" s="92">
        <f>IF(COUNT(G16,H16)=0,"",MAX(G16,H16))</f>
        <v/>
      </c>
      <c r="J16" s="91" t="n"/>
      <c r="K16" s="91" t="n"/>
      <c r="L16" s="91" t="n"/>
      <c r="M16" s="92">
        <f>IF(I17="","",I17)</f>
        <v/>
      </c>
      <c r="N16" s="92">
        <f>IF(I18="","",I18)</f>
        <v/>
      </c>
      <c r="O16" s="92">
        <f>IF(OR(M16="",N16=""),"",MAX(M16,N16))</f>
        <v/>
      </c>
      <c r="P16" s="93">
        <f>IF($E16="—","—",IF($J16="","",IF($I16="","sin referencia",IF(AND($E16="Carrera (≤2/10)",$K16=""),"falta K",IF(OR($J16&gt;IF($E16="Carrera (≤2/10)",2,3),AND($E16="Carrera (≤2/10)",$K16="No")),"Retroceder",IF($M16="","pendiente",IF($M16&gt;$I16,"Retroceder",IF($N16="","pendiente",IF($O16&lt;=$I16,"Avanzar","Mantener")))))))))</f>
        <v/>
      </c>
      <c r="Q16" s="94" t="n"/>
    </row>
    <row r="17" ht="27" customHeight="1" s="52">
      <c r="A17" s="95" t="n">
        <v>46333</v>
      </c>
      <c r="B17" s="96" t="inlineStr">
        <is>
          <t>S</t>
        </is>
      </c>
      <c r="C17" s="97" t="inlineStr">
        <is>
          <t>S3</t>
        </is>
      </c>
      <c r="D17" s="98" t="inlineStr">
        <is>
          <t>Hombro/codo + abdominales (sin pierna)</t>
        </is>
      </c>
      <c r="E17" s="99" t="inlineStr">
        <is>
          <t>—</t>
        </is>
      </c>
      <c r="F17" s="100" t="inlineStr">
        <is>
          <t>—</t>
        </is>
      </c>
      <c r="G17" s="91" t="n"/>
      <c r="H17" s="91" t="n"/>
      <c r="I17" s="92">
        <f>IF(COUNT(G17,H17)=0,"",MAX(G17,H17))</f>
        <v/>
      </c>
      <c r="J17" s="91" t="n"/>
      <c r="K17" s="91" t="n"/>
      <c r="L17" s="91" t="n"/>
      <c r="M17" s="92">
        <f>IF(I18="","",I18)</f>
        <v/>
      </c>
      <c r="N17" s="92">
        <f>IF(I19="","",I19)</f>
        <v/>
      </c>
      <c r="O17" s="92">
        <f>IF(OR(M17="",N17=""),"",MAX(M17,N17))</f>
        <v/>
      </c>
      <c r="P17" s="93">
        <f>IF($E17="—","—",IF($J17="","",IF($I17="","sin referencia",IF(AND($E17="Carrera (≤2/10)",$K17=""),"falta K",IF(OR($J17&gt;IF($E17="Carrera (≤2/10)",2,3),AND($E17="Carrera (≤2/10)",$K17="No")),"Retroceder",IF($M17="","pendiente",IF($M17&gt;$I17,"Retroceder",IF($N17="","pendiente",IF($O17&lt;=$I17,"Avanzar","Mantener")))))))))</f>
        <v/>
      </c>
      <c r="Q17" s="94" t="n"/>
    </row>
    <row r="18" ht="27" customHeight="1" s="52">
      <c r="A18" s="95" t="n">
        <v>46334</v>
      </c>
      <c r="B18" s="96" t="inlineStr">
        <is>
          <t>D</t>
        </is>
      </c>
      <c r="C18" s="97" t="inlineStr">
        <is>
          <t>S3</t>
        </is>
      </c>
      <c r="D18" s="98" t="inlineStr">
        <is>
          <t>Carrera (repite el miércoles)</t>
        </is>
      </c>
      <c r="E18" s="99" t="inlineStr">
        <is>
          <t>Carrera (≤2/10)</t>
        </is>
      </c>
      <c r="F18" s="100" t="inlineStr">
        <is>
          <t>— (repite)</t>
        </is>
      </c>
      <c r="G18" s="91" t="n"/>
      <c r="H18" s="91" t="n"/>
      <c r="I18" s="92">
        <f>IF(COUNT(G18,H18)=0,"",MAX(G18,H18))</f>
        <v/>
      </c>
      <c r="J18" s="91" t="n"/>
      <c r="K18" s="91" t="n"/>
      <c r="L18" s="91" t="n"/>
      <c r="M18" s="92">
        <f>IF(I19="","",I19)</f>
        <v/>
      </c>
      <c r="N18" s="92">
        <f>IF(I20="","",I20)</f>
        <v/>
      </c>
      <c r="O18" s="92">
        <f>IF(OR(M18="",N18=""),"",MAX(M18,N18))</f>
        <v/>
      </c>
      <c r="P18" s="93">
        <f>IF($E18="—","—",IF($J18="","",IF($I18="","sin referencia",IF(AND($E18="Carrera (≤2/10)",$K18=""),"falta K",IF(OR($J18&gt;IF($E18="Carrera (≤2/10)",2,3),AND($E18="Carrera (≤2/10)",$K18="No")),"Retroceder",IF($M18="","pendiente",IF($M18&gt;$I18,"Retroceder",IF($N18="","pendiente",IF($O18&lt;=$I18,"Avanzar","Mantener")))))))))</f>
        <v/>
      </c>
      <c r="Q18" s="94" t="n"/>
    </row>
    <row r="19" ht="27" customHeight="1" s="52">
      <c r="A19" s="85" t="n">
        <v>46335</v>
      </c>
      <c r="B19" s="86" t="inlineStr">
        <is>
          <t>L</t>
        </is>
      </c>
      <c r="C19" s="87" t="inlineStr">
        <is>
          <t>S4</t>
        </is>
      </c>
      <c r="D19" s="88" t="inlineStr">
        <is>
          <t>Rehab: touchdown + prensa (pesado) + abducción · laterales/gemelo/isquio</t>
        </is>
      </c>
      <c r="E19" s="89" t="inlineStr">
        <is>
          <t>Gimnasio (≤3/10)</t>
        </is>
      </c>
      <c r="F19" s="90" t="inlineStr">
        <is>
          <t>Escalón +1 (prensa)</t>
        </is>
      </c>
      <c r="G19" s="91" t="n"/>
      <c r="H19" s="91" t="n"/>
      <c r="I19" s="92">
        <f>IF(COUNT(G19,H19)=0,"",MAX(G19,H19))</f>
        <v/>
      </c>
      <c r="J19" s="91" t="n"/>
      <c r="K19" s="91" t="n"/>
      <c r="L19" s="91" t="n"/>
      <c r="M19" s="92">
        <f>IF(I20="","",I20)</f>
        <v/>
      </c>
      <c r="N19" s="92">
        <f>IF(I21="","",I21)</f>
        <v/>
      </c>
      <c r="O19" s="92">
        <f>IF(OR(M19="",N19=""),"",MAX(M19,N19))</f>
        <v/>
      </c>
      <c r="P19" s="93">
        <f>IF($E19="—","—",IF($J19="","",IF($I19="","sin referencia",IF(AND($E19="Carrera (≤2/10)",$K19=""),"falta K",IF(OR($J19&gt;IF($E19="Carrera (≤2/10)",2,3),AND($E19="Carrera (≤2/10)",$K19="No")),"Retroceder",IF($M19="","pendiente",IF($M19&gt;$I19,"Retroceder",IF($N19="","pendiente",IF($O19&lt;=$I19,"Avanzar","Mantener")))))))))</f>
        <v/>
      </c>
      <c r="Q19" s="94" t="n"/>
    </row>
    <row r="20" ht="27" customHeight="1" s="52">
      <c r="A20" s="85" t="n">
        <v>46336</v>
      </c>
      <c r="B20" s="86" t="inlineStr">
        <is>
          <t>M</t>
        </is>
      </c>
      <c r="C20" s="87" t="inlineStr">
        <is>
          <t>S4</t>
        </is>
      </c>
      <c r="D20" s="88" t="inlineStr">
        <is>
          <t>Push</t>
        </is>
      </c>
      <c r="E20" s="89" t="inlineStr">
        <is>
          <t>—</t>
        </is>
      </c>
      <c r="F20" s="90" t="inlineStr">
        <is>
          <t>—</t>
        </is>
      </c>
      <c r="G20" s="91" t="n"/>
      <c r="H20" s="91" t="n"/>
      <c r="I20" s="92">
        <f>IF(COUNT(G20,H20)=0,"",MAX(G20,H20))</f>
        <v/>
      </c>
      <c r="J20" s="91" t="n"/>
      <c r="K20" s="91" t="n"/>
      <c r="L20" s="91" t="n"/>
      <c r="M20" s="92">
        <f>IF(I21="","",I21)</f>
        <v/>
      </c>
      <c r="N20" s="92">
        <f>IF(I22="","",I22)</f>
        <v/>
      </c>
      <c r="O20" s="92">
        <f>IF(OR(M20="",N20=""),"",MAX(M20,N20))</f>
        <v/>
      </c>
      <c r="P20" s="93">
        <f>IF($E20="—","—",IF($J20="","",IF($I20="","sin referencia",IF(AND($E20="Carrera (≤2/10)",$K20=""),"falta K",IF(OR($J20&gt;IF($E20="Carrera (≤2/10)",2,3),AND($E20="Carrera (≤2/10)",$K20="No")),"Retroceder",IF($M20="","pendiente",IF($M20&gt;$I20,"Retroceder",IF($N20="","pendiente",IF($O20&lt;=$I20,"Avanzar","Mantener")))))))))</f>
        <v/>
      </c>
      <c r="Q20" s="94" t="n"/>
    </row>
    <row r="21" ht="27" customHeight="1" s="52">
      <c r="A21" s="85" t="n">
        <v>46337</v>
      </c>
      <c r="B21" s="86" t="inlineStr">
        <is>
          <t>X</t>
        </is>
      </c>
      <c r="C21" s="87" t="inlineStr">
        <is>
          <t>S4</t>
        </is>
      </c>
      <c r="D21" s="88" t="inlineStr">
        <is>
          <t>Pull + carrera</t>
        </is>
      </c>
      <c r="E21" s="89" t="inlineStr">
        <is>
          <t>Carrera (≤2/10)</t>
        </is>
      </c>
      <c r="F21" s="90" t="inlineStr">
        <is>
          <t>Carrera N3</t>
        </is>
      </c>
      <c r="G21" s="91" t="n"/>
      <c r="H21" s="91" t="n"/>
      <c r="I21" s="92">
        <f>IF(COUNT(G21,H21)=0,"",MAX(G21,H21))</f>
        <v/>
      </c>
      <c r="J21" s="91" t="n"/>
      <c r="K21" s="91" t="n"/>
      <c r="L21" s="91" t="n"/>
      <c r="M21" s="92">
        <f>IF(I22="","",I22)</f>
        <v/>
      </c>
      <c r="N21" s="92">
        <f>IF(I23="","",I23)</f>
        <v/>
      </c>
      <c r="O21" s="92">
        <f>IF(OR(M21="",N21=""),"",MAX(M21,N21))</f>
        <v/>
      </c>
      <c r="P21" s="93">
        <f>IF($E21="—","—",IF($J21="","",IF($I21="","sin referencia",IF(AND($E21="Carrera (≤2/10)",$K21=""),"falta K",IF(OR($J21&gt;IF($E21="Carrera (≤2/10)",2,3),AND($E21="Carrera (≤2/10)",$K21="No")),"Retroceder",IF($M21="","pendiente",IF($M21&gt;$I21,"Retroceder",IF($N21="","pendiente",IF($O21&lt;=$I21,"Avanzar","Mantener")))))))))</f>
        <v/>
      </c>
      <c r="Q21" s="94" t="n"/>
    </row>
    <row r="22" ht="27" customHeight="1" s="52">
      <c r="A22" s="85" t="n">
        <v>46338</v>
      </c>
      <c r="B22" s="86" t="inlineStr">
        <is>
          <t>J</t>
        </is>
      </c>
      <c r="C22" s="87" t="inlineStr">
        <is>
          <t>S4</t>
        </is>
      </c>
      <c r="D22" s="88" t="inlineStr">
        <is>
          <t>rehab: sentadilla + búlgara (pesado) + abducción · isquio/aductor/gemelo</t>
        </is>
      </c>
      <c r="E22" s="89" t="inlineStr">
        <is>
          <t>Gimnasio (≤3/10)</t>
        </is>
      </c>
      <c r="F22" s="90" t="inlineStr">
        <is>
          <t>—</t>
        </is>
      </c>
      <c r="G22" s="91" t="n"/>
      <c r="H22" s="91" t="n"/>
      <c r="I22" s="92">
        <f>IF(COUNT(G22,H22)=0,"",MAX(G22,H22))</f>
        <v/>
      </c>
      <c r="J22" s="91" t="n"/>
      <c r="K22" s="91" t="n"/>
      <c r="L22" s="91" t="n"/>
      <c r="M22" s="92">
        <f>IF(I23="","",I23)</f>
        <v/>
      </c>
      <c r="N22" s="92">
        <f>IF(I24="","",I24)</f>
        <v/>
      </c>
      <c r="O22" s="92">
        <f>IF(OR(M22="",N22=""),"",MAX(M22,N22))</f>
        <v/>
      </c>
      <c r="P22" s="93">
        <f>IF($E22="—","—",IF($J22="","",IF($I22="","sin referencia",IF(AND($E22="Carrera (≤2/10)",$K22=""),"falta K",IF(OR($J22&gt;IF($E22="Carrera (≤2/10)",2,3),AND($E22="Carrera (≤2/10)",$K22="No")),"Retroceder",IF($M22="","pendiente",IF($M22&gt;$I22,"Retroceder",IF($N22="","pendiente",IF($O22&lt;=$I22,"Avanzar","Mantener")))))))))</f>
        <v/>
      </c>
      <c r="Q22" s="94" t="n"/>
    </row>
    <row r="23" ht="27" customHeight="1" s="52">
      <c r="A23" s="85" t="n">
        <v>46339</v>
      </c>
      <c r="B23" s="86" t="inlineStr">
        <is>
          <t>V</t>
        </is>
      </c>
      <c r="C23" s="87" t="inlineStr">
        <is>
          <t>S4</t>
        </is>
      </c>
      <c r="D23" s="88" t="inlineStr">
        <is>
          <t>Torso + bici 10' Z2 (1.ª vez)</t>
        </is>
      </c>
      <c r="E23" s="89" t="inlineStr">
        <is>
          <t>—</t>
        </is>
      </c>
      <c r="F23" s="90" t="inlineStr">
        <is>
          <t>Bici (1.ª vez)</t>
        </is>
      </c>
      <c r="G23" s="91" t="n"/>
      <c r="H23" s="91" t="n"/>
      <c r="I23" s="92">
        <f>IF(COUNT(G23,H23)=0,"",MAX(G23,H23))</f>
        <v/>
      </c>
      <c r="J23" s="91" t="n"/>
      <c r="K23" s="91" t="n"/>
      <c r="L23" s="91" t="n"/>
      <c r="M23" s="92">
        <f>IF(I24="","",I24)</f>
        <v/>
      </c>
      <c r="N23" s="92">
        <f>IF(I25="","",I25)</f>
        <v/>
      </c>
      <c r="O23" s="92">
        <f>IF(OR(M23="",N23=""),"",MAX(M23,N23))</f>
        <v/>
      </c>
      <c r="P23" s="93">
        <f>IF($E23="—","—",IF($J23="","",IF($I23="","sin referencia",IF(AND($E23="Carrera (≤2/10)",$K23=""),"falta K",IF(OR($J23&gt;IF($E23="Carrera (≤2/10)",2,3),AND($E23="Carrera (≤2/10)",$K23="No")),"Retroceder",IF($M23="","pendiente",IF($M23&gt;$I23,"Retroceder",IF($N23="","pendiente",IF($O23&lt;=$I23,"Avanzar","Mantener")))))))))</f>
        <v/>
      </c>
      <c r="Q23" s="94" t="n"/>
    </row>
    <row r="24" ht="27" customHeight="1" s="52">
      <c r="A24" s="85" t="n">
        <v>46340</v>
      </c>
      <c r="B24" s="86" t="inlineStr">
        <is>
          <t>S</t>
        </is>
      </c>
      <c r="C24" s="87" t="inlineStr">
        <is>
          <t>S4</t>
        </is>
      </c>
      <c r="D24" s="88" t="inlineStr">
        <is>
          <t>Hombro/codo + abdominales (sin pierna)</t>
        </is>
      </c>
      <c r="E24" s="89" t="inlineStr">
        <is>
          <t>—</t>
        </is>
      </c>
      <c r="F24" s="90" t="inlineStr">
        <is>
          <t>—</t>
        </is>
      </c>
      <c r="G24" s="91" t="n"/>
      <c r="H24" s="91" t="n"/>
      <c r="I24" s="92">
        <f>IF(COUNT(G24,H24)=0,"",MAX(G24,H24))</f>
        <v/>
      </c>
      <c r="J24" s="91" t="n"/>
      <c r="K24" s="91" t="n"/>
      <c r="L24" s="91" t="n"/>
      <c r="M24" s="92">
        <f>IF(I25="","",I25)</f>
        <v/>
      </c>
      <c r="N24" s="92">
        <f>IF(I26="","",I26)</f>
        <v/>
      </c>
      <c r="O24" s="92">
        <f>IF(OR(M24="",N24=""),"",MAX(M24,N24))</f>
        <v/>
      </c>
      <c r="P24" s="93">
        <f>IF($E24="—","—",IF($J24="","",IF($I24="","sin referencia",IF(AND($E24="Carrera (≤2/10)",$K24=""),"falta K",IF(OR($J24&gt;IF($E24="Carrera (≤2/10)",2,3),AND($E24="Carrera (≤2/10)",$K24="No")),"Retroceder",IF($M24="","pendiente",IF($M24&gt;$I24,"Retroceder",IF($N24="","pendiente",IF($O24&lt;=$I24,"Avanzar","Mantener")))))))))</f>
        <v/>
      </c>
      <c r="Q24" s="94" t="n"/>
    </row>
    <row r="25" ht="27" customHeight="1" s="52">
      <c r="A25" s="85" t="n">
        <v>46341</v>
      </c>
      <c r="B25" s="86" t="inlineStr">
        <is>
          <t>D</t>
        </is>
      </c>
      <c r="C25" s="87" t="inlineStr">
        <is>
          <t>S4</t>
        </is>
      </c>
      <c r="D25" s="88" t="inlineStr">
        <is>
          <t>Carrera (repite el miércoles)</t>
        </is>
      </c>
      <c r="E25" s="89" t="inlineStr">
        <is>
          <t>Carrera (≤2/10)</t>
        </is>
      </c>
      <c r="F25" s="90" t="inlineStr">
        <is>
          <t>— (repite)</t>
        </is>
      </c>
      <c r="G25" s="91" t="n"/>
      <c r="H25" s="91" t="n"/>
      <c r="I25" s="92">
        <f>IF(COUNT(G25,H25)=0,"",MAX(G25,H25))</f>
        <v/>
      </c>
      <c r="J25" s="91" t="n"/>
      <c r="K25" s="91" t="n"/>
      <c r="L25" s="91" t="n"/>
      <c r="M25" s="92">
        <f>IF(I26="","",I26)</f>
        <v/>
      </c>
      <c r="N25" s="92">
        <f>IF(I27="","",I27)</f>
        <v/>
      </c>
      <c r="O25" s="92">
        <f>IF(OR(M25="",N25=""),"",MAX(M25,N25))</f>
        <v/>
      </c>
      <c r="P25" s="93">
        <f>IF($E25="—","—",IF($J25="","",IF($I25="","sin referencia",IF(AND($E25="Carrera (≤2/10)",$K25=""),"falta K",IF(OR($J25&gt;IF($E25="Carrera (≤2/10)",2,3),AND($E25="Carrera (≤2/10)",$K25="No")),"Retroceder",IF($M25="","pendiente",IF($M25&gt;$I25,"Retroceder",IF($N25="","pendiente",IF($O25&lt;=$I25,"Avanzar","Mantener")))))))))</f>
        <v/>
      </c>
      <c r="Q25" s="94" t="n"/>
    </row>
    <row r="26" ht="27" customHeight="1" s="52">
      <c r="A26" s="95" t="n">
        <v>46342</v>
      </c>
      <c r="B26" s="96" t="inlineStr">
        <is>
          <t>L</t>
        </is>
      </c>
      <c r="C26" s="97" t="inlineStr">
        <is>
          <t>S5</t>
        </is>
      </c>
      <c r="D26" s="98" t="inlineStr">
        <is>
          <t>Rehab: touchdown + prensa (pesado) + abducción · laterales/gemelo/isquio</t>
        </is>
      </c>
      <c r="E26" s="99" t="inlineStr">
        <is>
          <t>Gimnasio (≤3/10)</t>
        </is>
      </c>
      <c r="F26" s="100" t="inlineStr">
        <is>
          <t>Reps x8 (prensa)</t>
        </is>
      </c>
      <c r="G26" s="91" t="n"/>
      <c r="H26" s="91" t="n"/>
      <c r="I26" s="92">
        <f>IF(COUNT(G26,H26)=0,"",MAX(G26,H26))</f>
        <v/>
      </c>
      <c r="J26" s="91" t="n"/>
      <c r="K26" s="91" t="n"/>
      <c r="L26" s="91" t="n"/>
      <c r="M26" s="92">
        <f>IF(I27="","",I27)</f>
        <v/>
      </c>
      <c r="N26" s="92">
        <f>IF(I28="","",I28)</f>
        <v/>
      </c>
      <c r="O26" s="92">
        <f>IF(OR(M26="",N26=""),"",MAX(M26,N26))</f>
        <v/>
      </c>
      <c r="P26" s="93">
        <f>IF($E26="—","—",IF($J26="","",IF($I26="","sin referencia",IF(AND($E26="Carrera (≤2/10)",$K26=""),"falta K",IF(OR($J26&gt;IF($E26="Carrera (≤2/10)",2,3),AND($E26="Carrera (≤2/10)",$K26="No")),"Retroceder",IF($M26="","pendiente",IF($M26&gt;$I26,"Retroceder",IF($N26="","pendiente",IF($O26&lt;=$I26,"Avanzar","Mantener")))))))))</f>
        <v/>
      </c>
      <c r="Q26" s="94" t="n"/>
    </row>
    <row r="27" ht="27" customHeight="1" s="52">
      <c r="A27" s="95" t="n">
        <v>46343</v>
      </c>
      <c r="B27" s="96" t="inlineStr">
        <is>
          <t>M</t>
        </is>
      </c>
      <c r="C27" s="97" t="inlineStr">
        <is>
          <t>S5</t>
        </is>
      </c>
      <c r="D27" s="98" t="inlineStr">
        <is>
          <t>Push + bici 10' Z2</t>
        </is>
      </c>
      <c r="E27" s="99" t="inlineStr">
        <is>
          <t>—</t>
        </is>
      </c>
      <c r="F27" s="100" t="inlineStr">
        <is>
          <t>—</t>
        </is>
      </c>
      <c r="G27" s="91" t="n"/>
      <c r="H27" s="91" t="n"/>
      <c r="I27" s="92">
        <f>IF(COUNT(G27,H27)=0,"",MAX(G27,H27))</f>
        <v/>
      </c>
      <c r="J27" s="91" t="n"/>
      <c r="K27" s="91" t="n"/>
      <c r="L27" s="91" t="n"/>
      <c r="M27" s="92">
        <f>IF(I28="","",I28)</f>
        <v/>
      </c>
      <c r="N27" s="92">
        <f>IF(I29="","",I29)</f>
        <v/>
      </c>
      <c r="O27" s="92">
        <f>IF(OR(M27="",N27=""),"",MAX(M27,N27))</f>
        <v/>
      </c>
      <c r="P27" s="93">
        <f>IF($E27="—","—",IF($J27="","",IF($I27="","sin referencia",IF(AND($E27="Carrera (≤2/10)",$K27=""),"falta K",IF(OR($J27&gt;IF($E27="Carrera (≤2/10)",2,3),AND($E27="Carrera (≤2/10)",$K27="No")),"Retroceder",IF($M27="","pendiente",IF($M27&gt;$I27,"Retroceder",IF($N27="","pendiente",IF($O27&lt;=$I27,"Avanzar","Mantener")))))))))</f>
        <v/>
      </c>
      <c r="Q27" s="94" t="n"/>
    </row>
    <row r="28" ht="27" customHeight="1" s="52">
      <c r="A28" s="95" t="n">
        <v>46344</v>
      </c>
      <c r="B28" s="96" t="inlineStr">
        <is>
          <t>X</t>
        </is>
      </c>
      <c r="C28" s="97" t="inlineStr">
        <is>
          <t>S5</t>
        </is>
      </c>
      <c r="D28" s="98" t="inlineStr">
        <is>
          <t>Pull + carrera</t>
        </is>
      </c>
      <c r="E28" s="99" t="inlineStr">
        <is>
          <t>Carrera (≤2/10)</t>
        </is>
      </c>
      <c r="F28" s="100" t="inlineStr">
        <is>
          <t>Carrera N4</t>
        </is>
      </c>
      <c r="G28" s="91" t="n"/>
      <c r="H28" s="91" t="n"/>
      <c r="I28" s="92">
        <f>IF(COUNT(G28,H28)=0,"",MAX(G28,H28))</f>
        <v/>
      </c>
      <c r="J28" s="91" t="n"/>
      <c r="K28" s="91" t="n"/>
      <c r="L28" s="91" t="n"/>
      <c r="M28" s="92">
        <f>IF(I29="","",I29)</f>
        <v/>
      </c>
      <c r="N28" s="92">
        <f>IF(I30="","",I30)</f>
        <v/>
      </c>
      <c r="O28" s="92">
        <f>IF(OR(M28="",N28=""),"",MAX(M28,N28))</f>
        <v/>
      </c>
      <c r="P28" s="93">
        <f>IF($E28="—","—",IF($J28="","",IF($I28="","sin referencia",IF(AND($E28="Carrera (≤2/10)",$K28=""),"falta K",IF(OR($J28&gt;IF($E28="Carrera (≤2/10)",2,3),AND($E28="Carrera (≤2/10)",$K28="No")),"Retroceder",IF($M28="","pendiente",IF($M28&gt;$I28,"Retroceder",IF($N28="","pendiente",IF($O28&lt;=$I28,"Avanzar","Mantener")))))))))</f>
        <v/>
      </c>
      <c r="Q28" s="94" t="n"/>
    </row>
    <row r="29" ht="27" customHeight="1" s="52">
      <c r="A29" s="95" t="n">
        <v>46345</v>
      </c>
      <c r="B29" s="96" t="inlineStr">
        <is>
          <t>J</t>
        </is>
      </c>
      <c r="C29" s="97" t="inlineStr">
        <is>
          <t>S5</t>
        </is>
      </c>
      <c r="D29" s="98" t="inlineStr">
        <is>
          <t>Test + rehab: sentadilla + búlgara (pesado) + abducción · isquio/aductor/gemelo</t>
        </is>
      </c>
      <c r="E29" s="99" t="inlineStr">
        <is>
          <t>Gimnasio (≤3/10)</t>
        </is>
      </c>
      <c r="F29" s="100" t="inlineStr">
        <is>
          <t>— (test 2, repetido)</t>
        </is>
      </c>
      <c r="G29" s="91" t="n"/>
      <c r="H29" s="91" t="n"/>
      <c r="I29" s="92">
        <f>IF(COUNT(G29,H29)=0,"",MAX(G29,H29))</f>
        <v/>
      </c>
      <c r="J29" s="91" t="n"/>
      <c r="K29" s="91" t="n"/>
      <c r="L29" s="91" t="n"/>
      <c r="M29" s="92">
        <f>IF(I30="","",I30)</f>
        <v/>
      </c>
      <c r="N29" s="92">
        <f>IF(I31="","",I31)</f>
        <v/>
      </c>
      <c r="O29" s="92">
        <f>IF(OR(M29="",N29=""),"",MAX(M29,N29))</f>
        <v/>
      </c>
      <c r="P29" s="93">
        <f>IF($E29="—","—",IF($J29="","",IF($I29="","sin referencia",IF(AND($E29="Carrera (≤2/10)",$K29=""),"falta K",IF(OR($J29&gt;IF($E29="Carrera (≤2/10)",2,3),AND($E29="Carrera (≤2/10)",$K29="No")),"Retroceder",IF($M29="","pendiente",IF($M29&gt;$I29,"Retroceder",IF($N29="","pendiente",IF($O29&lt;=$I29,"Avanzar","Mantener")))))))))</f>
        <v/>
      </c>
      <c r="Q29" s="94" t="n"/>
    </row>
    <row r="30" ht="27" customHeight="1" s="52">
      <c r="A30" s="95" t="n">
        <v>46346</v>
      </c>
      <c r="B30" s="96" t="inlineStr">
        <is>
          <t>V</t>
        </is>
      </c>
      <c r="C30" s="97" t="inlineStr">
        <is>
          <t>S5</t>
        </is>
      </c>
      <c r="D30" s="98" t="inlineStr">
        <is>
          <t>Torso + bici 10' Z2</t>
        </is>
      </c>
      <c r="E30" s="99" t="inlineStr">
        <is>
          <t>—</t>
        </is>
      </c>
      <c r="F30" s="100" t="inlineStr">
        <is>
          <t>—</t>
        </is>
      </c>
      <c r="G30" s="91" t="n"/>
      <c r="H30" s="91" t="n"/>
      <c r="I30" s="92">
        <f>IF(COUNT(G30,H30)=0,"",MAX(G30,H30))</f>
        <v/>
      </c>
      <c r="J30" s="91" t="n"/>
      <c r="K30" s="91" t="n"/>
      <c r="L30" s="91" t="n"/>
      <c r="M30" s="92">
        <f>IF(I31="","",I31)</f>
        <v/>
      </c>
      <c r="N30" s="92">
        <f>IF(I32="","",I32)</f>
        <v/>
      </c>
      <c r="O30" s="92">
        <f>IF(OR(M30="",N30=""),"",MAX(M30,N30))</f>
        <v/>
      </c>
      <c r="P30" s="93">
        <f>IF($E30="—","—",IF($J30="","",IF($I30="","sin referencia",IF(AND($E30="Carrera (≤2/10)",$K30=""),"falta K",IF(OR($J30&gt;IF($E30="Carrera (≤2/10)",2,3),AND($E30="Carrera (≤2/10)",$K30="No")),"Retroceder",IF($M30="","pendiente",IF($M30&gt;$I30,"Retroceder",IF($N30="","pendiente",IF($O30&lt;=$I30,"Avanzar","Mantener")))))))))</f>
        <v/>
      </c>
      <c r="Q30" s="94" t="n"/>
    </row>
    <row r="31" ht="27" customHeight="1" s="52">
      <c r="A31" s="95" t="n">
        <v>46347</v>
      </c>
      <c r="B31" s="96" t="inlineStr">
        <is>
          <t>S</t>
        </is>
      </c>
      <c r="C31" s="97" t="inlineStr">
        <is>
          <t>S5</t>
        </is>
      </c>
      <c r="D31" s="98" t="inlineStr">
        <is>
          <t>Hombro/codo + abdominales (sin pierna)</t>
        </is>
      </c>
      <c r="E31" s="99" t="inlineStr">
        <is>
          <t>—</t>
        </is>
      </c>
      <c r="F31" s="100" t="inlineStr">
        <is>
          <t>—</t>
        </is>
      </c>
      <c r="G31" s="91" t="n"/>
      <c r="H31" s="91" t="n"/>
      <c r="I31" s="92">
        <f>IF(COUNT(G31,H31)=0,"",MAX(G31,H31))</f>
        <v/>
      </c>
      <c r="J31" s="91" t="n"/>
      <c r="K31" s="91" t="n"/>
      <c r="L31" s="91" t="n"/>
      <c r="M31" s="92">
        <f>IF(I32="","",I32)</f>
        <v/>
      </c>
      <c r="N31" s="92">
        <f>IF(I33="","",I33)</f>
        <v/>
      </c>
      <c r="O31" s="92">
        <f>IF(OR(M31="",N31=""),"",MAX(M31,N31))</f>
        <v/>
      </c>
      <c r="P31" s="93">
        <f>IF($E31="—","—",IF($J31="","",IF($I31="","sin referencia",IF(AND($E31="Carrera (≤2/10)",$K31=""),"falta K",IF(OR($J31&gt;IF($E31="Carrera (≤2/10)",2,3),AND($E31="Carrera (≤2/10)",$K31="No")),"Retroceder",IF($M31="","pendiente",IF($M31&gt;$I31,"Retroceder",IF($N31="","pendiente",IF($O31&lt;=$I31,"Avanzar","Mantener")))))))))</f>
        <v/>
      </c>
      <c r="Q31" s="94" t="n"/>
    </row>
    <row r="32" ht="27" customHeight="1" s="52">
      <c r="A32" s="95" t="n">
        <v>46348</v>
      </c>
      <c r="B32" s="96" t="inlineStr">
        <is>
          <t>D</t>
        </is>
      </c>
      <c r="C32" s="97" t="inlineStr">
        <is>
          <t>S5</t>
        </is>
      </c>
      <c r="D32" s="98" t="inlineStr">
        <is>
          <t>Carrera (repite el miércoles)</t>
        </is>
      </c>
      <c r="E32" s="99" t="inlineStr">
        <is>
          <t>Carrera (≤2/10)</t>
        </is>
      </c>
      <c r="F32" s="100" t="inlineStr">
        <is>
          <t>— (repite)</t>
        </is>
      </c>
      <c r="G32" s="91" t="n"/>
      <c r="H32" s="91" t="n"/>
      <c r="I32" s="92">
        <f>IF(COUNT(G32,H32)=0,"",MAX(G32,H32))</f>
        <v/>
      </c>
      <c r="J32" s="91" t="n"/>
      <c r="K32" s="91" t="n"/>
      <c r="L32" s="91" t="n"/>
      <c r="M32" s="92">
        <f>IF(I33="","",I33)</f>
        <v/>
      </c>
      <c r="N32" s="92">
        <f>IF(I34="","",I34)</f>
        <v/>
      </c>
      <c r="O32" s="92">
        <f>IF(OR(M32="",N32=""),"",MAX(M32,N32))</f>
        <v/>
      </c>
      <c r="P32" s="93">
        <f>IF($E32="—","—",IF($J32="","",IF($I32="","sin referencia",IF(AND($E32="Carrera (≤2/10)",$K32=""),"falta K",IF(OR($J32&gt;IF($E32="Carrera (≤2/10)",2,3),AND($E32="Carrera (≤2/10)",$K32="No")),"Retroceder",IF($M32="","pendiente",IF($M32&gt;$I32,"Retroceder",IF($N32="","pendiente",IF($O32&lt;=$I32,"Avanzar","Mantener")))))))))</f>
        <v/>
      </c>
      <c r="Q32" s="94" t="n"/>
    </row>
    <row r="33" ht="27" customHeight="1" s="52">
      <c r="A33" s="85" t="n">
        <v>46349</v>
      </c>
      <c r="B33" s="86" t="inlineStr">
        <is>
          <t>L</t>
        </is>
      </c>
      <c r="C33" s="87" t="inlineStr">
        <is>
          <t>S6</t>
        </is>
      </c>
      <c r="D33" s="88" t="inlineStr">
        <is>
          <t>Rehab: touchdown + prensa (pesado) + abducción · laterales/gemelo/isquio</t>
        </is>
      </c>
      <c r="E33" s="89" t="inlineStr">
        <is>
          <t>Gimnasio (≤3/10)</t>
        </is>
      </c>
      <c r="F33" s="90" t="inlineStr">
        <is>
          <t>Escalón +1 (prensa)</t>
        </is>
      </c>
      <c r="G33" s="91" t="n"/>
      <c r="H33" s="91" t="n"/>
      <c r="I33" s="92">
        <f>IF(COUNT(G33,H33)=0,"",MAX(G33,H33))</f>
        <v/>
      </c>
      <c r="J33" s="91" t="n"/>
      <c r="K33" s="91" t="n"/>
      <c r="L33" s="91" t="n"/>
      <c r="M33" s="92">
        <f>IF(I34="","",I34)</f>
        <v/>
      </c>
      <c r="N33" s="92">
        <f>IF(I35="","",I35)</f>
        <v/>
      </c>
      <c r="O33" s="92">
        <f>IF(OR(M33="",N33=""),"",MAX(M33,N33))</f>
        <v/>
      </c>
      <c r="P33" s="93">
        <f>IF($E33="—","—",IF($J33="","",IF($I33="","sin referencia",IF(AND($E33="Carrera (≤2/10)",$K33=""),"falta K",IF(OR($J33&gt;IF($E33="Carrera (≤2/10)",2,3),AND($E33="Carrera (≤2/10)",$K33="No")),"Retroceder",IF($M33="","pendiente",IF($M33&gt;$I33,"Retroceder",IF($N33="","pendiente",IF($O33&lt;=$I33,"Avanzar","Mantener")))))))))</f>
        <v/>
      </c>
      <c r="Q33" s="94" t="n"/>
    </row>
    <row r="34" ht="27" customHeight="1" s="52">
      <c r="A34" s="85" t="n">
        <v>46350</v>
      </c>
      <c r="B34" s="86" t="inlineStr">
        <is>
          <t>M</t>
        </is>
      </c>
      <c r="C34" s="87" t="inlineStr">
        <is>
          <t>S6</t>
        </is>
      </c>
      <c r="D34" s="88" t="inlineStr">
        <is>
          <t>Push + bici 10' Z2</t>
        </is>
      </c>
      <c r="E34" s="89" t="inlineStr">
        <is>
          <t>—</t>
        </is>
      </c>
      <c r="F34" s="90" t="inlineStr">
        <is>
          <t>—</t>
        </is>
      </c>
      <c r="G34" s="91" t="n"/>
      <c r="H34" s="91" t="n"/>
      <c r="I34" s="92">
        <f>IF(COUNT(G34,H34)=0,"",MAX(G34,H34))</f>
        <v/>
      </c>
      <c r="J34" s="91" t="n"/>
      <c r="K34" s="91" t="n"/>
      <c r="L34" s="91" t="n"/>
      <c r="M34" s="92">
        <f>IF(I35="","",I35)</f>
        <v/>
      </c>
      <c r="N34" s="92">
        <f>IF(I36="","",I36)</f>
        <v/>
      </c>
      <c r="O34" s="92">
        <f>IF(OR(M34="",N34=""),"",MAX(M34,N34))</f>
        <v/>
      </c>
      <c r="P34" s="93">
        <f>IF($E34="—","—",IF($J34="","",IF($I34="","sin referencia",IF(AND($E34="Carrera (≤2/10)",$K34=""),"falta K",IF(OR($J34&gt;IF($E34="Carrera (≤2/10)",2,3),AND($E34="Carrera (≤2/10)",$K34="No")),"Retroceder",IF($M34="","pendiente",IF($M34&gt;$I34,"Retroceder",IF($N34="","pendiente",IF($O34&lt;=$I34,"Avanzar","Mantener")))))))))</f>
        <v/>
      </c>
      <c r="Q34" s="94" t="n"/>
    </row>
    <row r="35" ht="27" customHeight="1" s="52">
      <c r="A35" s="85" t="n">
        <v>46351</v>
      </c>
      <c r="B35" s="86" t="inlineStr">
        <is>
          <t>X</t>
        </is>
      </c>
      <c r="C35" s="87" t="inlineStr">
        <is>
          <t>S6</t>
        </is>
      </c>
      <c r="D35" s="88" t="inlineStr">
        <is>
          <t>Pull + carrera</t>
        </is>
      </c>
      <c r="E35" s="89" t="inlineStr">
        <is>
          <t>Carrera (≤2/10)</t>
        </is>
      </c>
      <c r="F35" s="90" t="inlineStr">
        <is>
          <t>Carrera N5</t>
        </is>
      </c>
      <c r="G35" s="91" t="n"/>
      <c r="H35" s="91" t="n"/>
      <c r="I35" s="92">
        <f>IF(COUNT(G35,H35)=0,"",MAX(G35,H35))</f>
        <v/>
      </c>
      <c r="J35" s="91" t="n"/>
      <c r="K35" s="91" t="n"/>
      <c r="L35" s="91" t="n"/>
      <c r="M35" s="92">
        <f>IF(I36="","",I36)</f>
        <v/>
      </c>
      <c r="N35" s="92">
        <f>IF(I37="","",I37)</f>
        <v/>
      </c>
      <c r="O35" s="92">
        <f>IF(OR(M35="",N35=""),"",MAX(M35,N35))</f>
        <v/>
      </c>
      <c r="P35" s="93">
        <f>IF($E35="—","—",IF($J35="","",IF($I35="","sin referencia",IF(AND($E35="Carrera (≤2/10)",$K35=""),"falta K",IF(OR($J35&gt;IF($E35="Carrera (≤2/10)",2,3),AND($E35="Carrera (≤2/10)",$K35="No")),"Retroceder",IF($M35="","pendiente",IF($M35&gt;$I35,"Retroceder",IF($N35="","pendiente",IF($O35&lt;=$I35,"Avanzar","Mantener")))))))))</f>
        <v/>
      </c>
      <c r="Q35" s="94" t="n"/>
    </row>
    <row r="36" ht="27" customHeight="1" s="52">
      <c r="A36" s="85" t="n">
        <v>46352</v>
      </c>
      <c r="B36" s="86" t="inlineStr">
        <is>
          <t>J</t>
        </is>
      </c>
      <c r="C36" s="87" t="inlineStr">
        <is>
          <t>S6</t>
        </is>
      </c>
      <c r="D36" s="88" t="inlineStr">
        <is>
          <t>rehab: sentadilla + búlgara (pesado) + abducción · isquio/aductor/gemelo</t>
        </is>
      </c>
      <c r="E36" s="89" t="inlineStr">
        <is>
          <t>Gimnasio (≤3/10)</t>
        </is>
      </c>
      <c r="F36" s="90" t="inlineStr">
        <is>
          <t>—</t>
        </is>
      </c>
      <c r="G36" s="91" t="n"/>
      <c r="H36" s="91" t="n"/>
      <c r="I36" s="92">
        <f>IF(COUNT(G36,H36)=0,"",MAX(G36,H36))</f>
        <v/>
      </c>
      <c r="J36" s="91" t="n"/>
      <c r="K36" s="91" t="n"/>
      <c r="L36" s="91" t="n"/>
      <c r="M36" s="92">
        <f>IF(I37="","",I37)</f>
        <v/>
      </c>
      <c r="N36" s="92">
        <f>IF(I38="","",I38)</f>
        <v/>
      </c>
      <c r="O36" s="92">
        <f>IF(OR(M36="",N36=""),"",MAX(M36,N36))</f>
        <v/>
      </c>
      <c r="P36" s="93">
        <f>IF($E36="—","—",IF($J36="","",IF($I36="","sin referencia",IF(AND($E36="Carrera (≤2/10)",$K36=""),"falta K",IF(OR($J36&gt;IF($E36="Carrera (≤2/10)",2,3),AND($E36="Carrera (≤2/10)",$K36="No")),"Retroceder",IF($M36="","pendiente",IF($M36&gt;$I36,"Retroceder",IF($N36="","pendiente",IF($O36&lt;=$I36,"Avanzar","Mantener")))))))))</f>
        <v/>
      </c>
      <c r="Q36" s="94" t="n"/>
    </row>
    <row r="37" ht="27" customHeight="1" s="52">
      <c r="A37" s="85" t="n">
        <v>46353</v>
      </c>
      <c r="B37" s="86" t="inlineStr">
        <is>
          <t>V</t>
        </is>
      </c>
      <c r="C37" s="87" t="inlineStr">
        <is>
          <t>S6</t>
        </is>
      </c>
      <c r="D37" s="88" t="inlineStr">
        <is>
          <t>Torso + bici 10' Z2</t>
        </is>
      </c>
      <c r="E37" s="89" t="inlineStr">
        <is>
          <t>—</t>
        </is>
      </c>
      <c r="F37" s="90" t="inlineStr">
        <is>
          <t>—</t>
        </is>
      </c>
      <c r="G37" s="91" t="n"/>
      <c r="H37" s="91" t="n"/>
      <c r="I37" s="92">
        <f>IF(COUNT(G37,H37)=0,"",MAX(G37,H37))</f>
        <v/>
      </c>
      <c r="J37" s="91" t="n"/>
      <c r="K37" s="91" t="n"/>
      <c r="L37" s="91" t="n"/>
      <c r="M37" s="92">
        <f>IF(I38="","",I38)</f>
        <v/>
      </c>
      <c r="N37" s="92">
        <f>IF(I39="","",I39)</f>
        <v/>
      </c>
      <c r="O37" s="92">
        <f>IF(OR(M37="",N37=""),"",MAX(M37,N37))</f>
        <v/>
      </c>
      <c r="P37" s="93">
        <f>IF($E37="—","—",IF($J37="","",IF($I37="","sin referencia",IF(AND($E37="Carrera (≤2/10)",$K37=""),"falta K",IF(OR($J37&gt;IF($E37="Carrera (≤2/10)",2,3),AND($E37="Carrera (≤2/10)",$K37="No")),"Retroceder",IF($M37="","pendiente",IF($M37&gt;$I37,"Retroceder",IF($N37="","pendiente",IF($O37&lt;=$I37,"Avanzar","Mantener")))))))))</f>
        <v/>
      </c>
      <c r="Q37" s="94" t="n"/>
    </row>
    <row r="38" ht="27" customHeight="1" s="52">
      <c r="A38" s="85" t="n">
        <v>46354</v>
      </c>
      <c r="B38" s="86" t="inlineStr">
        <is>
          <t>S</t>
        </is>
      </c>
      <c r="C38" s="87" t="inlineStr">
        <is>
          <t>S6</t>
        </is>
      </c>
      <c r="D38" s="88" t="inlineStr">
        <is>
          <t>Hombro/codo + abdominales (sin pierna)</t>
        </is>
      </c>
      <c r="E38" s="89" t="inlineStr">
        <is>
          <t>—</t>
        </is>
      </c>
      <c r="F38" s="90" t="inlineStr">
        <is>
          <t>—</t>
        </is>
      </c>
      <c r="G38" s="91" t="n"/>
      <c r="H38" s="91" t="n"/>
      <c r="I38" s="92">
        <f>IF(COUNT(G38,H38)=0,"",MAX(G38,H38))</f>
        <v/>
      </c>
      <c r="J38" s="91" t="n"/>
      <c r="K38" s="91" t="n"/>
      <c r="L38" s="91" t="n"/>
      <c r="M38" s="92">
        <f>IF(I39="","",I39)</f>
        <v/>
      </c>
      <c r="N38" s="92">
        <f>IF(I40="","",I40)</f>
        <v/>
      </c>
      <c r="O38" s="92">
        <f>IF(OR(M38="",N38=""),"",MAX(M38,N38))</f>
        <v/>
      </c>
      <c r="P38" s="93">
        <f>IF($E38="—","—",IF($J38="","",IF($I38="","sin referencia",IF(AND($E38="Carrera (≤2/10)",$K38=""),"falta K",IF(OR($J38&gt;IF($E38="Carrera (≤2/10)",2,3),AND($E38="Carrera (≤2/10)",$K38="No")),"Retroceder",IF($M38="","pendiente",IF($M38&gt;$I38,"Retroceder",IF($N38="","pendiente",IF($O38&lt;=$I38,"Avanzar","Mantener")))))))))</f>
        <v/>
      </c>
      <c r="Q38" s="94" t="n"/>
    </row>
    <row r="39" ht="27" customHeight="1" s="52">
      <c r="A39" s="85" t="n">
        <v>46355</v>
      </c>
      <c r="B39" s="86" t="inlineStr">
        <is>
          <t>D</t>
        </is>
      </c>
      <c r="C39" s="87" t="inlineStr">
        <is>
          <t>S6</t>
        </is>
      </c>
      <c r="D39" s="88" t="inlineStr">
        <is>
          <t>Carrera (repite el miércoles)</t>
        </is>
      </c>
      <c r="E39" s="89" t="inlineStr">
        <is>
          <t>Carrera (≤2/10)</t>
        </is>
      </c>
      <c r="F39" s="90" t="inlineStr">
        <is>
          <t>— (repite)</t>
        </is>
      </c>
      <c r="G39" s="91" t="n"/>
      <c r="H39" s="91" t="n"/>
      <c r="I39" s="92">
        <f>IF(COUNT(G39,H39)=0,"",MAX(G39,H39))</f>
        <v/>
      </c>
      <c r="J39" s="91" t="n"/>
      <c r="K39" s="91" t="n"/>
      <c r="L39" s="91" t="n"/>
      <c r="M39" s="92">
        <f>IF(I40="","",I40)</f>
        <v/>
      </c>
      <c r="N39" s="92">
        <f>IF(I41="","",I41)</f>
        <v/>
      </c>
      <c r="O39" s="92">
        <f>IF(OR(M39="",N39=""),"",MAX(M39,N39))</f>
        <v/>
      </c>
      <c r="P39" s="93">
        <f>IF($E39="—","—",IF($J39="","",IF($I39="","sin referencia",IF(AND($E39="Carrera (≤2/10)",$K39=""),"falta K",IF(OR($J39&gt;IF($E39="Carrera (≤2/10)",2,3),AND($E39="Carrera (≤2/10)",$K39="No")),"Retroceder",IF($M39="","pendiente",IF($M39&gt;$I39,"Retroceder",IF($N39="","pendiente",IF($O39&lt;=$I39,"Avanzar","Mantener")))))))))</f>
        <v/>
      </c>
      <c r="Q39" s="94" t="n"/>
    </row>
    <row r="40" ht="27" customHeight="1" s="52">
      <c r="A40" s="95" t="n">
        <v>46356</v>
      </c>
      <c r="B40" s="96" t="inlineStr">
        <is>
          <t>L</t>
        </is>
      </c>
      <c r="C40" s="97" t="inlineStr">
        <is>
          <t>S7</t>
        </is>
      </c>
      <c r="D40" s="98" t="inlineStr">
        <is>
          <t>Rehab: touchdown + prensa (pesado) + abducción · laterales/gemelo/isquio</t>
        </is>
      </c>
      <c r="E40" s="99" t="inlineStr">
        <is>
          <t>Gimnasio (≤3/10)</t>
        </is>
      </c>
      <c r="F40" s="100" t="inlineStr">
        <is>
          <t>Escalón +1 (prensa)</t>
        </is>
      </c>
      <c r="G40" s="91" t="n"/>
      <c r="H40" s="91" t="n"/>
      <c r="I40" s="92">
        <f>IF(COUNT(G40,H40)=0,"",MAX(G40,H40))</f>
        <v/>
      </c>
      <c r="J40" s="91" t="n"/>
      <c r="K40" s="91" t="n"/>
      <c r="L40" s="91" t="n"/>
      <c r="M40" s="92">
        <f>IF(I41="","",I41)</f>
        <v/>
      </c>
      <c r="N40" s="92">
        <f>IF(I42="","",I42)</f>
        <v/>
      </c>
      <c r="O40" s="92">
        <f>IF(OR(M40="",N40=""),"",MAX(M40,N40))</f>
        <v/>
      </c>
      <c r="P40" s="93">
        <f>IF($E40="—","—",IF($J40="","",IF($I40="","sin referencia",IF(AND($E40="Carrera (≤2/10)",$K40=""),"falta K",IF(OR($J40&gt;IF($E40="Carrera (≤2/10)",2,3),AND($E40="Carrera (≤2/10)",$K40="No")),"Retroceder",IF($M40="","pendiente",IF($M40&gt;$I40,"Retroceder",IF($N40="","pendiente",IF($O40&lt;=$I40,"Avanzar","Mantener")))))))))</f>
        <v/>
      </c>
      <c r="Q40" s="94" t="n"/>
    </row>
    <row r="41" ht="27" customHeight="1" s="52">
      <c r="A41" s="95" t="n">
        <v>46357</v>
      </c>
      <c r="B41" s="96" t="inlineStr">
        <is>
          <t>M</t>
        </is>
      </c>
      <c r="C41" s="97" t="inlineStr">
        <is>
          <t>S7</t>
        </is>
      </c>
      <c r="D41" s="98" t="inlineStr">
        <is>
          <t>Push + bici 10' Z2</t>
        </is>
      </c>
      <c r="E41" s="99" t="inlineStr">
        <is>
          <t>—</t>
        </is>
      </c>
      <c r="F41" s="100" t="inlineStr">
        <is>
          <t>—</t>
        </is>
      </c>
      <c r="G41" s="91" t="n"/>
      <c r="H41" s="91" t="n"/>
      <c r="I41" s="92">
        <f>IF(COUNT(G41,H41)=0,"",MAX(G41,H41))</f>
        <v/>
      </c>
      <c r="J41" s="91" t="n"/>
      <c r="K41" s="91" t="n"/>
      <c r="L41" s="91" t="n"/>
      <c r="M41" s="92">
        <f>IF(I42="","",I42)</f>
        <v/>
      </c>
      <c r="N41" s="92">
        <f>IF(I43="","",I43)</f>
        <v/>
      </c>
      <c r="O41" s="92">
        <f>IF(OR(M41="",N41=""),"",MAX(M41,N41))</f>
        <v/>
      </c>
      <c r="P41" s="93">
        <f>IF($E41="—","—",IF($J41="","",IF($I41="","sin referencia",IF(AND($E41="Carrera (≤2/10)",$K41=""),"falta K",IF(OR($J41&gt;IF($E41="Carrera (≤2/10)",2,3),AND($E41="Carrera (≤2/10)",$K41="No")),"Retroceder",IF($M41="","pendiente",IF($M41&gt;$I41,"Retroceder",IF($N41="","pendiente",IF($O41&lt;=$I41,"Avanzar","Mantener")))))))))</f>
        <v/>
      </c>
      <c r="Q41" s="94" t="n"/>
    </row>
    <row r="42" ht="27" customHeight="1" s="52">
      <c r="A42" s="95" t="n">
        <v>46358</v>
      </c>
      <c r="B42" s="96" t="inlineStr">
        <is>
          <t>X</t>
        </is>
      </c>
      <c r="C42" s="97" t="inlineStr">
        <is>
          <t>S7</t>
        </is>
      </c>
      <c r="D42" s="98" t="inlineStr">
        <is>
          <t>Pull + carrera</t>
        </is>
      </c>
      <c r="E42" s="99" t="inlineStr">
        <is>
          <t>Carrera (≤2/10)</t>
        </is>
      </c>
      <c r="F42" s="100" t="inlineStr">
        <is>
          <t>Carrera N6 (2×12')</t>
        </is>
      </c>
      <c r="G42" s="91" t="n"/>
      <c r="H42" s="91" t="n"/>
      <c r="I42" s="92">
        <f>IF(COUNT(G42,H42)=0,"",MAX(G42,H42))</f>
        <v/>
      </c>
      <c r="J42" s="91" t="n"/>
      <c r="K42" s="91" t="n"/>
      <c r="L42" s="91" t="n"/>
      <c r="M42" s="92">
        <f>IF(I43="","",I43)</f>
        <v/>
      </c>
      <c r="N42" s="92">
        <f>IF(I44="","",I44)</f>
        <v/>
      </c>
      <c r="O42" s="92">
        <f>IF(OR(M42="",N42=""),"",MAX(M42,N42))</f>
        <v/>
      </c>
      <c r="P42" s="93">
        <f>IF($E42="—","—",IF($J42="","",IF($I42="","sin referencia",IF(AND($E42="Carrera (≤2/10)",$K42=""),"falta K",IF(OR($J42&gt;IF($E42="Carrera (≤2/10)",2,3),AND($E42="Carrera (≤2/10)",$K42="No")),"Retroceder",IF($M42="","pendiente",IF($M42&gt;$I42,"Retroceder",IF($N42="","pendiente",IF($O42&lt;=$I42,"Avanzar","Mantener")))))))))</f>
        <v/>
      </c>
      <c r="Q42" s="94" t="n"/>
    </row>
    <row r="43" ht="27" customHeight="1" s="52">
      <c r="A43" s="95" t="n">
        <v>46359</v>
      </c>
      <c r="B43" s="96" t="inlineStr">
        <is>
          <t>J</t>
        </is>
      </c>
      <c r="C43" s="97" t="inlineStr">
        <is>
          <t>S7</t>
        </is>
      </c>
      <c r="D43" s="98" t="inlineStr">
        <is>
          <t>Test + rehab: sentadilla + búlgara (pesado) + abducción · isquio/aductor/gemelo</t>
        </is>
      </c>
      <c r="E43" s="99" t="inlineStr">
        <is>
          <t>Gimnasio (≤3/10)</t>
        </is>
      </c>
      <c r="F43" s="100" t="inlineStr">
        <is>
          <t>— (test 3, repetido)</t>
        </is>
      </c>
      <c r="G43" s="91" t="n"/>
      <c r="H43" s="91" t="n"/>
      <c r="I43" s="92">
        <f>IF(COUNT(G43,H43)=0,"",MAX(G43,H43))</f>
        <v/>
      </c>
      <c r="J43" s="91" t="n"/>
      <c r="K43" s="91" t="n"/>
      <c r="L43" s="91" t="n"/>
      <c r="M43" s="92">
        <f>IF(I44="","",I44)</f>
        <v/>
      </c>
      <c r="N43" s="92">
        <f>IF(I45="","",I45)</f>
        <v/>
      </c>
      <c r="O43" s="92">
        <f>IF(OR(M43="",N43=""),"",MAX(M43,N43))</f>
        <v/>
      </c>
      <c r="P43" s="93">
        <f>IF($E43="—","—",IF($J43="","",IF($I43="","sin referencia",IF(AND($E43="Carrera (≤2/10)",$K43=""),"falta K",IF(OR($J43&gt;IF($E43="Carrera (≤2/10)",2,3),AND($E43="Carrera (≤2/10)",$K43="No")),"Retroceder",IF($M43="","pendiente",IF($M43&gt;$I43,"Retroceder",IF($N43="","pendiente",IF($O43&lt;=$I43,"Avanzar","Mantener")))))))))</f>
        <v/>
      </c>
      <c r="Q43" s="94" t="n"/>
    </row>
    <row r="44" ht="27" customHeight="1" s="52">
      <c r="A44" s="95" t="n">
        <v>46360</v>
      </c>
      <c r="B44" s="96" t="inlineStr">
        <is>
          <t>V</t>
        </is>
      </c>
      <c r="C44" s="97" t="inlineStr">
        <is>
          <t>S7</t>
        </is>
      </c>
      <c r="D44" s="98" t="inlineStr">
        <is>
          <t>Torso + bici 10' Z2</t>
        </is>
      </c>
      <c r="E44" s="99" t="inlineStr">
        <is>
          <t>—</t>
        </is>
      </c>
      <c r="F44" s="100" t="inlineStr">
        <is>
          <t>—</t>
        </is>
      </c>
      <c r="G44" s="91" t="n"/>
      <c r="H44" s="91" t="n"/>
      <c r="I44" s="92">
        <f>IF(COUNT(G44,H44)=0,"",MAX(G44,H44))</f>
        <v/>
      </c>
      <c r="J44" s="91" t="n"/>
      <c r="K44" s="91" t="n"/>
      <c r="L44" s="91" t="n"/>
      <c r="M44" s="92">
        <f>IF(I45="","",I45)</f>
        <v/>
      </c>
      <c r="N44" s="92">
        <f>IF(I46="","",I46)</f>
        <v/>
      </c>
      <c r="O44" s="92">
        <f>IF(OR(M44="",N44=""),"",MAX(M44,N44))</f>
        <v/>
      </c>
      <c r="P44" s="93">
        <f>IF($E44="—","—",IF($J44="","",IF($I44="","sin referencia",IF(AND($E44="Carrera (≤2/10)",$K44=""),"falta K",IF(OR($J44&gt;IF($E44="Carrera (≤2/10)",2,3),AND($E44="Carrera (≤2/10)",$K44="No")),"Retroceder",IF($M44="","pendiente",IF($M44&gt;$I44,"Retroceder",IF($N44="","pendiente",IF($O44&lt;=$I44,"Avanzar","Mantener")))))))))</f>
        <v/>
      </c>
      <c r="Q44" s="94" t="n"/>
    </row>
    <row r="45" ht="27" customHeight="1" s="52">
      <c r="A45" s="95" t="n">
        <v>46361</v>
      </c>
      <c r="B45" s="96" t="inlineStr">
        <is>
          <t>S</t>
        </is>
      </c>
      <c r="C45" s="97" t="inlineStr">
        <is>
          <t>S7</t>
        </is>
      </c>
      <c r="D45" s="98" t="inlineStr">
        <is>
          <t>Hombro/codo + abdominales (sin pierna)</t>
        </is>
      </c>
      <c r="E45" s="99" t="inlineStr">
        <is>
          <t>—</t>
        </is>
      </c>
      <c r="F45" s="100" t="inlineStr">
        <is>
          <t>—</t>
        </is>
      </c>
      <c r="G45" s="91" t="n"/>
      <c r="H45" s="91" t="n"/>
      <c r="I45" s="92">
        <f>IF(COUNT(G45,H45)=0,"",MAX(G45,H45))</f>
        <v/>
      </c>
      <c r="J45" s="91" t="n"/>
      <c r="K45" s="91" t="n"/>
      <c r="L45" s="91" t="n"/>
      <c r="M45" s="92">
        <f>IF(I46="","",I46)</f>
        <v/>
      </c>
      <c r="N45" s="92">
        <f>IF(I47="","",I47)</f>
        <v/>
      </c>
      <c r="O45" s="92">
        <f>IF(OR(M45="",N45=""),"",MAX(M45,N45))</f>
        <v/>
      </c>
      <c r="P45" s="93">
        <f>IF($E45="—","—",IF($J45="","",IF($I45="","sin referencia",IF(AND($E45="Carrera (≤2/10)",$K45=""),"falta K",IF(OR($J45&gt;IF($E45="Carrera (≤2/10)",2,3),AND($E45="Carrera (≤2/10)",$K45="No")),"Retroceder",IF($M45="","pendiente",IF($M45&gt;$I45,"Retroceder",IF($N45="","pendiente",IF($O45&lt;=$I45,"Avanzar","Mantener")))))))))</f>
        <v/>
      </c>
      <c r="Q45" s="94" t="n"/>
    </row>
    <row r="46" ht="27" customHeight="1" s="52">
      <c r="A46" s="95" t="n">
        <v>46362</v>
      </c>
      <c r="B46" s="96" t="inlineStr">
        <is>
          <t>D</t>
        </is>
      </c>
      <c r="C46" s="97" t="inlineStr">
        <is>
          <t>S7</t>
        </is>
      </c>
      <c r="D46" s="98" t="inlineStr">
        <is>
          <t>Carrera (repite el miércoles)</t>
        </is>
      </c>
      <c r="E46" s="99" t="inlineStr">
        <is>
          <t>Carrera (≤2/10)</t>
        </is>
      </c>
      <c r="F46" s="100" t="inlineStr">
        <is>
          <t>— (repite)</t>
        </is>
      </c>
      <c r="G46" s="91" t="n"/>
      <c r="H46" s="91" t="n"/>
      <c r="I46" s="92">
        <f>IF(COUNT(G46,H46)=0,"",MAX(G46,H46))</f>
        <v/>
      </c>
      <c r="J46" s="91" t="n"/>
      <c r="K46" s="91" t="n"/>
      <c r="L46" s="91" t="n"/>
      <c r="M46" s="92">
        <f>IF(I47="","",I47)</f>
        <v/>
      </c>
      <c r="N46" s="92">
        <f>IF(I48="","",I48)</f>
        <v/>
      </c>
      <c r="O46" s="92">
        <f>IF(OR(M46="",N46=""),"",MAX(M46,N46))</f>
        <v/>
      </c>
      <c r="P46" s="93">
        <f>IF($E46="—","—",IF($J46="","",IF($I46="","sin referencia",IF(AND($E46="Carrera (≤2/10)",$K46=""),"falta K",IF(OR($J46&gt;IF($E46="Carrera (≤2/10)",2,3),AND($E46="Carrera (≤2/10)",$K46="No")),"Retroceder",IF($M46="","pendiente",IF($M46&gt;$I46,"Retroceder",IF($N46="","pendiente",IF($O46&lt;=$I46,"Avanzar","Mantener")))))))))</f>
        <v/>
      </c>
      <c r="Q46" s="94" t="n"/>
    </row>
    <row r="47" ht="27" customHeight="1" s="52">
      <c r="A47" s="85" t="n">
        <v>46363</v>
      </c>
      <c r="B47" s="86" t="inlineStr">
        <is>
          <t>L</t>
        </is>
      </c>
      <c r="C47" s="87" t="inlineStr">
        <is>
          <t>S8</t>
        </is>
      </c>
      <c r="D47" s="88" t="inlineStr">
        <is>
          <t>Rehab: touchdown + prensa (pesado) + abducción · laterales/gemelo/isquio</t>
        </is>
      </c>
      <c r="E47" s="89" t="inlineStr">
        <is>
          <t>Gimnasio (≤3/10)</t>
        </is>
      </c>
      <c r="F47" s="90" t="inlineStr">
        <is>
          <t>ninguna (repite S7)</t>
        </is>
      </c>
      <c r="G47" s="91" t="n"/>
      <c r="H47" s="91" t="n"/>
      <c r="I47" s="92">
        <f>IF(COUNT(G47,H47)=0,"",MAX(G47,H47))</f>
        <v/>
      </c>
      <c r="J47" s="91" t="n"/>
      <c r="K47" s="91" t="n"/>
      <c r="L47" s="91" t="n"/>
      <c r="M47" s="92">
        <f>IF(I48="","",I48)</f>
        <v/>
      </c>
      <c r="N47" s="92">
        <f>IF(I49="","",I49)</f>
        <v/>
      </c>
      <c r="O47" s="92">
        <f>IF(OR(M47="",N47=""),"",MAX(M47,N47))</f>
        <v/>
      </c>
      <c r="P47" s="93">
        <f>IF($E47="—","—",IF($J47="","",IF($I47="","sin referencia",IF(AND($E47="Carrera (≤2/10)",$K47=""),"falta K",IF(OR($J47&gt;IF($E47="Carrera (≤2/10)",2,3),AND($E47="Carrera (≤2/10)",$K47="No")),"Retroceder",IF($M47="","pendiente",IF($M47&gt;$I47,"Retroceder",IF($N47="","pendiente",IF($O47&lt;=$I47,"Avanzar","Mantener")))))))))</f>
        <v/>
      </c>
      <c r="Q47" s="94" t="n"/>
    </row>
    <row r="48" ht="27" customHeight="1" s="52">
      <c r="A48" s="85" t="n">
        <v>46364</v>
      </c>
      <c r="B48" s="86" t="inlineStr">
        <is>
          <t>M</t>
        </is>
      </c>
      <c r="C48" s="87" t="inlineStr">
        <is>
          <t>S8</t>
        </is>
      </c>
      <c r="D48" s="88" t="inlineStr">
        <is>
          <t>Push + bici 10' Z2</t>
        </is>
      </c>
      <c r="E48" s="89" t="inlineStr">
        <is>
          <t>—</t>
        </is>
      </c>
      <c r="F48" s="90" t="inlineStr">
        <is>
          <t>—</t>
        </is>
      </c>
      <c r="G48" s="91" t="n"/>
      <c r="H48" s="91" t="n"/>
      <c r="I48" s="92">
        <f>IF(COUNT(G48,H48)=0,"",MAX(G48,H48))</f>
        <v/>
      </c>
      <c r="J48" s="91" t="n"/>
      <c r="K48" s="91" t="n"/>
      <c r="L48" s="91" t="n"/>
      <c r="M48" s="92">
        <f>IF(I49="","",I49)</f>
        <v/>
      </c>
      <c r="N48" s="92">
        <f>IF(I50="","",I50)</f>
        <v/>
      </c>
      <c r="O48" s="92">
        <f>IF(OR(M48="",N48=""),"",MAX(M48,N48))</f>
        <v/>
      </c>
      <c r="P48" s="93">
        <f>IF($E48="—","—",IF($J48="","",IF($I48="","sin referencia",IF(AND($E48="Carrera (≤2/10)",$K48=""),"falta K",IF(OR($J48&gt;IF($E48="Carrera (≤2/10)",2,3),AND($E48="Carrera (≤2/10)",$K48="No")),"Retroceder",IF($M48="","pendiente",IF($M48&gt;$I48,"Retroceder",IF($N48="","pendiente",IF($O48&lt;=$I48,"Avanzar","Mantener")))))))))</f>
        <v/>
      </c>
      <c r="Q48" s="94" t="n"/>
    </row>
    <row r="49" ht="27" customHeight="1" s="52">
      <c r="A49" s="85" t="n">
        <v>46365</v>
      </c>
      <c r="B49" s="86" t="inlineStr">
        <is>
          <t>X</t>
        </is>
      </c>
      <c r="C49" s="87" t="inlineStr">
        <is>
          <t>S8</t>
        </is>
      </c>
      <c r="D49" s="88" t="inlineStr">
        <is>
          <t>Pull + carrera</t>
        </is>
      </c>
      <c r="E49" s="89" t="inlineStr">
        <is>
          <t>Carrera (≤2/10)</t>
        </is>
      </c>
      <c r="F49" s="90" t="inlineStr">
        <is>
          <t>ninguna (repite N6)</t>
        </is>
      </c>
      <c r="G49" s="91" t="n"/>
      <c r="H49" s="91" t="n"/>
      <c r="I49" s="92">
        <f>IF(COUNT(G49,H49)=0,"",MAX(G49,H49))</f>
        <v/>
      </c>
      <c r="J49" s="91" t="n"/>
      <c r="K49" s="91" t="n"/>
      <c r="L49" s="91" t="n"/>
      <c r="M49" s="92">
        <f>IF(I50="","",I50)</f>
        <v/>
      </c>
      <c r="N49" s="92">
        <f>IF(I51="","",I51)</f>
        <v/>
      </c>
      <c r="O49" s="92">
        <f>IF(OR(M49="",N49=""),"",MAX(M49,N49))</f>
        <v/>
      </c>
      <c r="P49" s="93">
        <f>IF($E49="—","—",IF($J49="","",IF($I49="","sin referencia",IF(AND($E49="Carrera (≤2/10)",$K49=""),"falta K",IF(OR($J49&gt;IF($E49="Carrera (≤2/10)",2,3),AND($E49="Carrera (≤2/10)",$K49="No")),"Retroceder",IF($M49="","pendiente",IF($M49&gt;$I49,"Retroceder",IF($N49="","pendiente",IF($O49&lt;=$I49,"Avanzar","Mantener")))))))))</f>
        <v/>
      </c>
      <c r="Q49" s="94" t="n"/>
    </row>
    <row r="50" ht="27" customHeight="1" s="52">
      <c r="A50" s="85" t="n">
        <v>46366</v>
      </c>
      <c r="B50" s="86" t="inlineStr">
        <is>
          <t>J</t>
        </is>
      </c>
      <c r="C50" s="87" t="inlineStr">
        <is>
          <t>S8</t>
        </is>
      </c>
      <c r="D50" s="88" t="inlineStr">
        <is>
          <t>rehab: sentadilla + búlgara (pesado) + abducción · isquio/aductor/gemelo</t>
        </is>
      </c>
      <c r="E50" s="89" t="inlineStr">
        <is>
          <t>Gimnasio (≤3/10)</t>
        </is>
      </c>
      <c r="F50" s="90" t="inlineStr">
        <is>
          <t>Test opcional rango completo</t>
        </is>
      </c>
      <c r="G50" s="91" t="n"/>
      <c r="H50" s="91" t="n"/>
      <c r="I50" s="92">
        <f>IF(COUNT(G50,H50)=0,"",MAX(G50,H50))</f>
        <v/>
      </c>
      <c r="J50" s="91" t="n"/>
      <c r="K50" s="91" t="n"/>
      <c r="L50" s="91" t="n"/>
      <c r="M50" s="92">
        <f>IF(I51="","",I51)</f>
        <v/>
      </c>
      <c r="N50" s="92">
        <f>IF(I52="","",I52)</f>
        <v/>
      </c>
      <c r="O50" s="92">
        <f>IF(OR(M50="",N50=""),"",MAX(M50,N50))</f>
        <v/>
      </c>
      <c r="P50" s="93">
        <f>IF($E50="—","—",IF($J50="","",IF($I50="","sin referencia",IF(AND($E50="Carrera (≤2/10)",$K50=""),"falta K",IF(OR($J50&gt;IF($E50="Carrera (≤2/10)",2,3),AND($E50="Carrera (≤2/10)",$K50="No")),"Retroceder",IF($M50="","pendiente",IF($M50&gt;$I50,"Retroceder",IF($N50="","pendiente",IF($O50&lt;=$I50,"Avanzar","Mantener")))))))))</f>
        <v/>
      </c>
      <c r="Q50" s="94" t="n"/>
    </row>
    <row r="51" ht="27" customHeight="1" s="52">
      <c r="A51" s="85" t="n">
        <v>46367</v>
      </c>
      <c r="B51" s="86" t="inlineStr">
        <is>
          <t>V</t>
        </is>
      </c>
      <c r="C51" s="87" t="inlineStr">
        <is>
          <t>S8</t>
        </is>
      </c>
      <c r="D51" s="88" t="inlineStr">
        <is>
          <t>Torso + bici 10' Z2</t>
        </is>
      </c>
      <c r="E51" s="89" t="inlineStr">
        <is>
          <t>—</t>
        </is>
      </c>
      <c r="F51" s="90" t="inlineStr">
        <is>
          <t>—</t>
        </is>
      </c>
      <c r="G51" s="91" t="n"/>
      <c r="H51" s="91" t="n"/>
      <c r="I51" s="92">
        <f>IF(COUNT(G51,H51)=0,"",MAX(G51,H51))</f>
        <v/>
      </c>
      <c r="J51" s="91" t="n"/>
      <c r="K51" s="91" t="n"/>
      <c r="L51" s="91" t="n"/>
      <c r="M51" s="92">
        <f>IF(I52="","",I52)</f>
        <v/>
      </c>
      <c r="N51" s="92">
        <f>IF(I53="","",I53)</f>
        <v/>
      </c>
      <c r="O51" s="92">
        <f>IF(OR(M51="",N51=""),"",MAX(M51,N51))</f>
        <v/>
      </c>
      <c r="P51" s="93">
        <f>IF($E51="—","—",IF($J51="","",IF($I51="","sin referencia",IF(AND($E51="Carrera (≤2/10)",$K51=""),"falta K",IF(OR($J51&gt;IF($E51="Carrera (≤2/10)",2,3),AND($E51="Carrera (≤2/10)",$K51="No")),"Retroceder",IF($M51="","pendiente",IF($M51&gt;$I51,"Retroceder",IF($N51="","pendiente",IF($O51&lt;=$I51,"Avanzar","Mantener")))))))))</f>
        <v/>
      </c>
      <c r="Q51" s="94" t="n"/>
    </row>
    <row r="52" ht="27" customHeight="1" s="52">
      <c r="A52" s="85" t="n">
        <v>46368</v>
      </c>
      <c r="B52" s="86" t="inlineStr">
        <is>
          <t>S</t>
        </is>
      </c>
      <c r="C52" s="87" t="inlineStr">
        <is>
          <t>S8</t>
        </is>
      </c>
      <c r="D52" s="88" t="inlineStr">
        <is>
          <t>Hombro/codo + abdominales (sin pierna)</t>
        </is>
      </c>
      <c r="E52" s="89" t="inlineStr">
        <is>
          <t>—</t>
        </is>
      </c>
      <c r="F52" s="90" t="inlineStr">
        <is>
          <t>—</t>
        </is>
      </c>
      <c r="G52" s="91" t="n"/>
      <c r="H52" s="91" t="n"/>
      <c r="I52" s="92">
        <f>IF(COUNT(G52,H52)=0,"",MAX(G52,H52))</f>
        <v/>
      </c>
      <c r="J52" s="91" t="n"/>
      <c r="K52" s="91" t="n"/>
      <c r="L52" s="91" t="n"/>
      <c r="M52" s="92">
        <f>IF(I53="","",I53)</f>
        <v/>
      </c>
      <c r="N52" s="92">
        <f>IF(I54="","",I54)</f>
        <v/>
      </c>
      <c r="O52" s="92">
        <f>IF(OR(M52="",N52=""),"",MAX(M52,N52))</f>
        <v/>
      </c>
      <c r="P52" s="93">
        <f>IF($E52="—","—",IF($J52="","",IF($I52="","sin referencia",IF(AND($E52="Carrera (≤2/10)",$K52=""),"falta K",IF(OR($J52&gt;IF($E52="Carrera (≤2/10)",2,3),AND($E52="Carrera (≤2/10)",$K52="No")),"Retroceder",IF($M52="","pendiente",IF($M52&gt;$I52,"Retroceder",IF($N52="","pendiente",IF($O52&lt;=$I52,"Avanzar","Mantener")))))))))</f>
        <v/>
      </c>
      <c r="Q52" s="94" t="n"/>
    </row>
    <row r="53" ht="27" customHeight="1" s="52">
      <c r="A53" s="85" t="n">
        <v>46369</v>
      </c>
      <c r="B53" s="86" t="inlineStr">
        <is>
          <t>D</t>
        </is>
      </c>
      <c r="C53" s="87" t="inlineStr">
        <is>
          <t>S8</t>
        </is>
      </c>
      <c r="D53" s="88" t="inlineStr">
        <is>
          <t>Carrera (repite el miércoles)</t>
        </is>
      </c>
      <c r="E53" s="89" t="inlineStr">
        <is>
          <t>Carrera (≤2/10)</t>
        </is>
      </c>
      <c r="F53" s="90" t="inlineStr">
        <is>
          <t>— (repite)</t>
        </is>
      </c>
      <c r="G53" s="91" t="n"/>
      <c r="H53" s="91" t="n"/>
      <c r="I53" s="92">
        <f>IF(COUNT(G53,H53)=0,"",MAX(G53,H53))</f>
        <v/>
      </c>
      <c r="J53" s="91" t="n"/>
      <c r="K53" s="91" t="n"/>
      <c r="L53" s="91" t="n"/>
      <c r="M53" s="92">
        <f>IF(I54="","",I54)</f>
        <v/>
      </c>
      <c r="N53" s="92">
        <f>IF(I55="","",I55)</f>
        <v/>
      </c>
      <c r="O53" s="92">
        <f>IF(OR(M53="",N53=""),"",MAX(M53,N53))</f>
        <v/>
      </c>
      <c r="P53" s="93">
        <f>IF($E53="—","—",IF($J53="","",IF($I53="","sin referencia",IF(AND($E53="Carrera (≤2/10)",$K53=""),"falta K",IF(OR($J53&gt;IF($E53="Carrera (≤2/10)",2,3),AND($E53="Carrera (≤2/10)",$K53="No")),"Retroceder",IF($M53="","pendiente",IF($M53&gt;$I53,"Retroceder",IF($N53="","pendiente",IF($O53&lt;=$I53,"Avanzar","Mantener")))))))))</f>
        <v/>
      </c>
      <c r="Q53" s="94" t="n"/>
    </row>
    <row r="54" ht="27" customHeight="1" s="52">
      <c r="A54" s="95" t="n">
        <v>46370</v>
      </c>
      <c r="B54" s="96" t="inlineStr">
        <is>
          <t>L</t>
        </is>
      </c>
      <c r="C54" s="97" t="inlineStr">
        <is>
          <t>S9</t>
        </is>
      </c>
      <c r="D54" s="98" t="inlineStr">
        <is>
          <t>Viaje · sentadilla española 5×45 s</t>
        </is>
      </c>
      <c r="E54" s="99" t="inlineStr">
        <is>
          <t>—</t>
        </is>
      </c>
      <c r="F54" s="100" t="inlineStr">
        <is>
          <t>—</t>
        </is>
      </c>
      <c r="G54" s="91" t="n"/>
      <c r="H54" s="91" t="n"/>
      <c r="I54" s="92">
        <f>IF(COUNT(G54,H54)=0,"",MAX(G54,H54))</f>
        <v/>
      </c>
      <c r="J54" s="91" t="n"/>
      <c r="K54" s="91" t="n"/>
      <c r="L54" s="91" t="n"/>
      <c r="M54" s="92">
        <f>IF(I55="","",I55)</f>
        <v/>
      </c>
      <c r="N54" s="92">
        <f>IF(I56="","",I56)</f>
        <v/>
      </c>
      <c r="O54" s="92">
        <f>IF(OR(M54="",N54=""),"",MAX(M54,N54))</f>
        <v/>
      </c>
      <c r="P54" s="93">
        <f>IF($E54="—","—",IF($J54="","",IF($I54="","sin referencia",IF(AND($E54="Carrera (≤2/10)",$K54=""),"falta K",IF(OR($J54&gt;IF($E54="Carrera (≤2/10)",2,3),AND($E54="Carrera (≤2/10)",$K54="No")),"Retroceder",IF($M54="","pendiente",IF($M54&gt;$I54,"Retroceder",IF($N54="","pendiente",IF($O54&lt;=$I54,"Avanzar","Mantener")))))))))</f>
        <v/>
      </c>
      <c r="Q54" s="94" t="n"/>
    </row>
    <row r="55" ht="27" customHeight="1" s="52">
      <c r="A55" s="95" t="n">
        <v>46371</v>
      </c>
      <c r="B55" s="96" t="inlineStr">
        <is>
          <t>M</t>
        </is>
      </c>
      <c r="C55" s="97" t="inlineStr">
        <is>
          <t>S9</t>
        </is>
      </c>
      <c r="D55" s="98" t="inlineStr">
        <is>
          <t>Viaje · sentadilla española 5×45 s</t>
        </is>
      </c>
      <c r="E55" s="99" t="inlineStr">
        <is>
          <t>—</t>
        </is>
      </c>
      <c r="F55" s="100" t="inlineStr">
        <is>
          <t>—</t>
        </is>
      </c>
      <c r="G55" s="91" t="n"/>
      <c r="H55" s="91" t="n"/>
      <c r="I55" s="92">
        <f>IF(COUNT(G55,H55)=0,"",MAX(G55,H55))</f>
        <v/>
      </c>
      <c r="J55" s="91" t="n"/>
      <c r="K55" s="91" t="n"/>
      <c r="L55" s="91" t="n"/>
      <c r="M55" s="92">
        <f>IF(I56="","",I56)</f>
        <v/>
      </c>
      <c r="N55" s="92">
        <f>IF(I57="","",I57)</f>
        <v/>
      </c>
      <c r="O55" s="92">
        <f>IF(OR(M55="",N55=""),"",MAX(M55,N55))</f>
        <v/>
      </c>
      <c r="P55" s="93">
        <f>IF($E55="—","—",IF($J55="","",IF($I55="","sin referencia",IF(AND($E55="Carrera (≤2/10)",$K55=""),"falta K",IF(OR($J55&gt;IF($E55="Carrera (≤2/10)",2,3),AND($E55="Carrera (≤2/10)",$K55="No")),"Retroceder",IF($M55="","pendiente",IF($M55&gt;$I55,"Retroceder",IF($N55="","pendiente",IF($O55&lt;=$I55,"Avanzar","Mantener")))))))))</f>
        <v/>
      </c>
      <c r="Q55" s="94" t="n"/>
    </row>
    <row r="56" ht="27" customHeight="1" s="52">
      <c r="A56" s="95" t="n">
        <v>46372</v>
      </c>
      <c r="B56" s="96" t="inlineStr">
        <is>
          <t>X</t>
        </is>
      </c>
      <c r="C56" s="97" t="inlineStr">
        <is>
          <t>S9</t>
        </is>
      </c>
      <c r="D56" s="98" t="inlineStr">
        <is>
          <t>Viaje · rodaje suave opcional (≤ nivel S8)</t>
        </is>
      </c>
      <c r="E56" s="99" t="inlineStr">
        <is>
          <t>Carrera (≤2/10)</t>
        </is>
      </c>
      <c r="F56" s="100" t="inlineStr">
        <is>
          <t>—</t>
        </is>
      </c>
      <c r="G56" s="91" t="n"/>
      <c r="H56" s="91" t="n"/>
      <c r="I56" s="92">
        <f>IF(COUNT(G56,H56)=0,"",MAX(G56,H56))</f>
        <v/>
      </c>
      <c r="J56" s="91" t="n"/>
      <c r="K56" s="91" t="n"/>
      <c r="L56" s="91" t="n"/>
      <c r="M56" s="92">
        <f>IF(I57="","",I57)</f>
        <v/>
      </c>
      <c r="N56" s="92">
        <f>IF(I58="","",I58)</f>
        <v/>
      </c>
      <c r="O56" s="92">
        <f>IF(OR(M56="",N56=""),"",MAX(M56,N56))</f>
        <v/>
      </c>
      <c r="P56" s="93">
        <f>IF($E56="—","—",IF($J56="","",IF($I56="","sin referencia",IF(AND($E56="Carrera (≤2/10)",$K56=""),"falta K",IF(OR($J56&gt;IF($E56="Carrera (≤2/10)",2,3),AND($E56="Carrera (≤2/10)",$K56="No")),"Retroceder",IF($M56="","pendiente",IF($M56&gt;$I56,"Retroceder",IF($N56="","pendiente",IF($O56&lt;=$I56,"Avanzar","Mantener")))))))))</f>
        <v/>
      </c>
      <c r="Q56" s="94" t="n"/>
    </row>
    <row r="57" ht="27" customHeight="1" s="52">
      <c r="A57" s="95" t="n">
        <v>46373</v>
      </c>
      <c r="B57" s="96" t="inlineStr">
        <is>
          <t>J</t>
        </is>
      </c>
      <c r="C57" s="97" t="inlineStr">
        <is>
          <t>S9</t>
        </is>
      </c>
      <c r="D57" s="98" t="inlineStr">
        <is>
          <t>Viaje · sentadilla española 5×45 s</t>
        </is>
      </c>
      <c r="E57" s="99" t="inlineStr">
        <is>
          <t>—</t>
        </is>
      </c>
      <c r="F57" s="100" t="inlineStr">
        <is>
          <t>—</t>
        </is>
      </c>
      <c r="G57" s="91" t="n"/>
      <c r="H57" s="91" t="n"/>
      <c r="I57" s="92">
        <f>IF(COUNT(G57,H57)=0,"",MAX(G57,H57))</f>
        <v/>
      </c>
      <c r="J57" s="91" t="n"/>
      <c r="K57" s="91" t="n"/>
      <c r="L57" s="91" t="n"/>
      <c r="M57" s="92">
        <f>IF(I58="","",I58)</f>
        <v/>
      </c>
      <c r="N57" s="92">
        <f>IF(I59="","",I59)</f>
        <v/>
      </c>
      <c r="O57" s="92">
        <f>IF(OR(M57="",N57=""),"",MAX(M57,N57))</f>
        <v/>
      </c>
      <c r="P57" s="93">
        <f>IF($E57="—","—",IF($J57="","",IF($I57="","sin referencia",IF(AND($E57="Carrera (≤2/10)",$K57=""),"falta K",IF(OR($J57&gt;IF($E57="Carrera (≤2/10)",2,3),AND($E57="Carrera (≤2/10)",$K57="No")),"Retroceder",IF($M57="","pendiente",IF($M57&gt;$I57,"Retroceder",IF($N57="","pendiente",IF($O57&lt;=$I57,"Avanzar","Mantener")))))))))</f>
        <v/>
      </c>
      <c r="Q57" s="94" t="n"/>
    </row>
    <row r="58" ht="27" customHeight="1" s="52">
      <c r="A58" s="95" t="n">
        <v>46374</v>
      </c>
      <c r="B58" s="96" t="inlineStr">
        <is>
          <t>V</t>
        </is>
      </c>
      <c r="C58" s="97" t="inlineStr">
        <is>
          <t>S9</t>
        </is>
      </c>
      <c r="D58" s="98" t="inlineStr">
        <is>
          <t>Viaje · sentadilla española 5×45 s</t>
        </is>
      </c>
      <c r="E58" s="99" t="inlineStr">
        <is>
          <t>—</t>
        </is>
      </c>
      <c r="F58" s="100" t="inlineStr">
        <is>
          <t>—</t>
        </is>
      </c>
      <c r="G58" s="91" t="n"/>
      <c r="H58" s="91" t="n"/>
      <c r="I58" s="92">
        <f>IF(COUNT(G58,H58)=0,"",MAX(G58,H58))</f>
        <v/>
      </c>
      <c r="J58" s="91" t="n"/>
      <c r="K58" s="91" t="n"/>
      <c r="L58" s="91" t="n"/>
      <c r="M58" s="92">
        <f>IF(I59="","",I59)</f>
        <v/>
      </c>
      <c r="N58" s="92">
        <f>IF(I60="","",I60)</f>
        <v/>
      </c>
      <c r="O58" s="92">
        <f>IF(OR(M58="",N58=""),"",MAX(M58,N58))</f>
        <v/>
      </c>
      <c r="P58" s="93">
        <f>IF($E58="—","—",IF($J58="","",IF($I58="","sin referencia",IF(AND($E58="Carrera (≤2/10)",$K58=""),"falta K",IF(OR($J58&gt;IF($E58="Carrera (≤2/10)",2,3),AND($E58="Carrera (≤2/10)",$K58="No")),"Retroceder",IF($M58="","pendiente",IF($M58&gt;$I58,"Retroceder",IF($N58="","pendiente",IF($O58&lt;=$I58,"Avanzar","Mantener")))))))))</f>
        <v/>
      </c>
      <c r="Q58" s="94" t="n"/>
    </row>
    <row r="59" ht="27" customHeight="1" s="52">
      <c r="A59" s="95" t="n">
        <v>46375</v>
      </c>
      <c r="B59" s="96" t="inlineStr">
        <is>
          <t>S</t>
        </is>
      </c>
      <c r="C59" s="97" t="inlineStr">
        <is>
          <t>S9</t>
        </is>
      </c>
      <c r="D59" s="98" t="inlineStr">
        <is>
          <t>Viaje · sentadilla española 5×45 s</t>
        </is>
      </c>
      <c r="E59" s="99" t="inlineStr">
        <is>
          <t>—</t>
        </is>
      </c>
      <c r="F59" s="100" t="inlineStr">
        <is>
          <t>—</t>
        </is>
      </c>
      <c r="G59" s="91" t="n"/>
      <c r="H59" s="91" t="n"/>
      <c r="I59" s="92">
        <f>IF(COUNT(G59,H59)=0,"",MAX(G59,H59))</f>
        <v/>
      </c>
      <c r="J59" s="91" t="n"/>
      <c r="K59" s="91" t="n"/>
      <c r="L59" s="91" t="n"/>
      <c r="M59" s="92">
        <f>IF(I60="","",I60)</f>
        <v/>
      </c>
      <c r="N59" s="92">
        <f>IF(I61="","",I61)</f>
        <v/>
      </c>
      <c r="O59" s="92">
        <f>IF(OR(M59="",N59=""),"",MAX(M59,N59))</f>
        <v/>
      </c>
      <c r="P59" s="93">
        <f>IF($E59="—","—",IF($J59="","",IF($I59="","sin referencia",IF(AND($E59="Carrera (≤2/10)",$K59=""),"falta K",IF(OR($J59&gt;IF($E59="Carrera (≤2/10)",2,3),AND($E59="Carrera (≤2/10)",$K59="No")),"Retroceder",IF($M59="","pendiente",IF($M59&gt;$I59,"Retroceder",IF($N59="","pendiente",IF($O59&lt;=$I59,"Avanzar","Mantener")))))))))</f>
        <v/>
      </c>
      <c r="Q59" s="94" t="n"/>
    </row>
    <row r="60" ht="27" customHeight="1" s="52">
      <c r="A60" s="95" t="n">
        <v>46376</v>
      </c>
      <c r="B60" s="96" t="inlineStr">
        <is>
          <t>D</t>
        </is>
      </c>
      <c r="C60" s="97" t="inlineStr">
        <is>
          <t>S9</t>
        </is>
      </c>
      <c r="D60" s="98" t="inlineStr">
        <is>
          <t>Viaje · rodaje suave opcional (≤ nivel S8)</t>
        </is>
      </c>
      <c r="E60" s="99" t="inlineStr">
        <is>
          <t>Carrera (≤2/10)</t>
        </is>
      </c>
      <c r="F60" s="100" t="inlineStr">
        <is>
          <t>—</t>
        </is>
      </c>
      <c r="G60" s="91" t="n"/>
      <c r="H60" s="91" t="n"/>
      <c r="I60" s="92">
        <f>IF(COUNT(G60,H60)=0,"",MAX(G60,H60))</f>
        <v/>
      </c>
      <c r="J60" s="91" t="n"/>
      <c r="K60" s="91" t="n"/>
      <c r="L60" s="91" t="n"/>
      <c r="M60" s="92">
        <f>IF(I61="","",I61)</f>
        <v/>
      </c>
      <c r="N60" s="92">
        <f>IF(I62="","",I62)</f>
        <v/>
      </c>
      <c r="O60" s="92">
        <f>IF(OR(M60="",N60=""),"",MAX(M60,N60))</f>
        <v/>
      </c>
      <c r="P60" s="93">
        <f>IF($E60="—","—",IF($J60="","",IF($I60="","sin referencia",IF(AND($E60="Carrera (≤2/10)",$K60=""),"falta K",IF(OR($J60&gt;IF($E60="Carrera (≤2/10)",2,3),AND($E60="Carrera (≤2/10)",$K60="No")),"Retroceder",IF($M60="","pendiente",IF($M60&gt;$I60,"Retroceder",IF($N60="","pendiente",IF($O60&lt;=$I60,"Avanzar","Mantener")))))))))</f>
        <v/>
      </c>
      <c r="Q60" s="94" t="n"/>
    </row>
    <row r="61" ht="27" customHeight="1" s="52">
      <c r="A61" s="85" t="n">
        <v>46377</v>
      </c>
      <c r="B61" s="86" t="inlineStr">
        <is>
          <t>L</t>
        </is>
      </c>
      <c r="C61" s="87" t="inlineStr">
        <is>
          <t>S10</t>
        </is>
      </c>
      <c r="D61" s="88" t="inlineStr">
        <is>
          <t>Vuelta: touchdown + prensa x8 al ~80% del peso de S8</t>
        </is>
      </c>
      <c r="E61" s="89" t="inlineStr">
        <is>
          <t>Gimnasio (≤3/10)</t>
        </is>
      </c>
      <c r="F61" s="90" t="inlineStr">
        <is>
          <t>Vuelta (carga reducida)</t>
        </is>
      </c>
      <c r="G61" s="91" t="n"/>
      <c r="H61" s="91" t="n"/>
      <c r="I61" s="92">
        <f>IF(COUNT(G61,H61)=0,"",MAX(G61,H61))</f>
        <v/>
      </c>
      <c r="J61" s="91" t="n"/>
      <c r="K61" s="91" t="n"/>
      <c r="L61" s="91" t="n"/>
      <c r="M61" s="92">
        <f>IF(I62="","",I62)</f>
        <v/>
      </c>
      <c r="N61" s="92">
        <f>IF(I63="","",I63)</f>
        <v/>
      </c>
      <c r="O61" s="92">
        <f>IF(OR(M61="",N61=""),"",MAX(M61,N61))</f>
        <v/>
      </c>
      <c r="P61" s="93">
        <f>IF($E61="—","—",IF($J61="","",IF($I61="","sin referencia",IF(AND($E61="Carrera (≤2/10)",$K61=""),"falta K",IF(OR($J61&gt;IF($E61="Carrera (≤2/10)",2,3),AND($E61="Carrera (≤2/10)",$K61="No")),"Retroceder",IF($M61="","pendiente",IF($M61&gt;$I61,"Retroceder",IF($N61="","pendiente",IF($O61&lt;=$I61,"Avanzar","Mantener")))))))))</f>
        <v/>
      </c>
      <c r="Q61" s="94" t="n"/>
    </row>
    <row r="62" ht="27" customHeight="1" s="52">
      <c r="A62" s="85" t="n">
        <v>46378</v>
      </c>
      <c r="B62" s="86" t="inlineStr">
        <is>
          <t>M</t>
        </is>
      </c>
      <c r="C62" s="87" t="inlineStr">
        <is>
          <t>S10</t>
        </is>
      </c>
      <c r="D62" s="88" t="inlineStr">
        <is>
          <t>Push + bici 10' Z2</t>
        </is>
      </c>
      <c r="E62" s="89" t="inlineStr">
        <is>
          <t>—</t>
        </is>
      </c>
      <c r="F62" s="90" t="inlineStr">
        <is>
          <t>—</t>
        </is>
      </c>
      <c r="G62" s="91" t="n"/>
      <c r="H62" s="91" t="n"/>
      <c r="I62" s="92">
        <f>IF(COUNT(G62,H62)=0,"",MAX(G62,H62))</f>
        <v/>
      </c>
      <c r="J62" s="91" t="n"/>
      <c r="K62" s="91" t="n"/>
      <c r="L62" s="91" t="n"/>
      <c r="M62" s="92">
        <f>IF(I63="","",I63)</f>
        <v/>
      </c>
      <c r="N62" s="92">
        <f>IF(I64="","",I64)</f>
        <v/>
      </c>
      <c r="O62" s="92">
        <f>IF(OR(M62="",N62=""),"",MAX(M62,N62))</f>
        <v/>
      </c>
      <c r="P62" s="93">
        <f>IF($E62="—","—",IF($J62="","",IF($I62="","sin referencia",IF(AND($E62="Carrera (≤2/10)",$K62=""),"falta K",IF(OR($J62&gt;IF($E62="Carrera (≤2/10)",2,3),AND($E62="Carrera (≤2/10)",$K62="No")),"Retroceder",IF($M62="","pendiente",IF($M62&gt;$I62,"Retroceder",IF($N62="","pendiente",IF($O62&lt;=$I62,"Avanzar","Mantener")))))))))</f>
        <v/>
      </c>
      <c r="Q62" s="94" t="n"/>
    </row>
    <row r="63" ht="27" customHeight="1" s="52">
      <c r="A63" s="85" t="n">
        <v>46379</v>
      </c>
      <c r="B63" s="86" t="inlineStr">
        <is>
          <t>X</t>
        </is>
      </c>
      <c r="C63" s="87" t="inlineStr">
        <is>
          <t>S10</t>
        </is>
      </c>
      <c r="D63" s="88" t="inlineStr">
        <is>
          <t>Pull + carrera (nivel S8 o uno menos)</t>
        </is>
      </c>
      <c r="E63" s="89" t="inlineStr">
        <is>
          <t>Carrera (≤2/10)</t>
        </is>
      </c>
      <c r="F63" s="90" t="inlineStr">
        <is>
          <t>Vuelta a correr</t>
        </is>
      </c>
      <c r="G63" s="91" t="n"/>
      <c r="H63" s="91" t="n"/>
      <c r="I63" s="92">
        <f>IF(COUNT(G63,H63)=0,"",MAX(G63,H63))</f>
        <v/>
      </c>
      <c r="J63" s="91" t="n"/>
      <c r="K63" s="91" t="n"/>
      <c r="L63" s="91" t="n"/>
      <c r="M63" s="92">
        <f>IF(I64="","",I64)</f>
        <v/>
      </c>
      <c r="N63" s="92">
        <f>IF(I65="","",I65)</f>
        <v/>
      </c>
      <c r="O63" s="92">
        <f>IF(OR(M63="",N63=""),"",MAX(M63,N63))</f>
        <v/>
      </c>
      <c r="P63" s="93">
        <f>IF($E63="—","—",IF($J63="","",IF($I63="","sin referencia",IF(AND($E63="Carrera (≤2/10)",$K63=""),"falta K",IF(OR($J63&gt;IF($E63="Carrera (≤2/10)",2,3),AND($E63="Carrera (≤2/10)",$K63="No")),"Retroceder",IF($M63="","pendiente",IF($M63&gt;$I63,"Retroceder",IF($N63="","pendiente",IF($O63&lt;=$I63,"Avanzar","Mantener")))))))))</f>
        <v/>
      </c>
      <c r="Q63" s="94" t="n"/>
    </row>
    <row r="64" ht="27" customHeight="1" s="52">
      <c r="A64" s="85" t="n">
        <v>46380</v>
      </c>
      <c r="B64" s="86" t="inlineStr">
        <is>
          <t>J</t>
        </is>
      </c>
      <c r="C64" s="87" t="inlineStr">
        <is>
          <t>S10</t>
        </is>
      </c>
      <c r="D64" s="88" t="inlineStr">
        <is>
          <t>Vuelta: sentadilla/búlgara x8 al ~80% + abducción</t>
        </is>
      </c>
      <c r="E64" s="89" t="inlineStr">
        <is>
          <t>Gimnasio (≤3/10)</t>
        </is>
      </c>
      <c r="F64" s="90" t="inlineStr">
        <is>
          <t>—</t>
        </is>
      </c>
      <c r="G64" s="91" t="n"/>
      <c r="H64" s="91" t="n"/>
      <c r="I64" s="92">
        <f>IF(COUNT(G64,H64)=0,"",MAX(G64,H64))</f>
        <v/>
      </c>
      <c r="J64" s="91" t="n"/>
      <c r="K64" s="91" t="n"/>
      <c r="L64" s="91" t="n"/>
      <c r="M64" s="92">
        <f>IF(I65="","",I65)</f>
        <v/>
      </c>
      <c r="N64" s="92">
        <f>IF(I66="","",I66)</f>
        <v/>
      </c>
      <c r="O64" s="92">
        <f>IF(OR(M64="",N64=""),"",MAX(M64,N64))</f>
        <v/>
      </c>
      <c r="P64" s="93">
        <f>IF($E64="—","—",IF($J64="","",IF($I64="","sin referencia",IF(AND($E64="Carrera (≤2/10)",$K64=""),"falta K",IF(OR($J64&gt;IF($E64="Carrera (≤2/10)",2,3),AND($E64="Carrera (≤2/10)",$K64="No")),"Retroceder",IF($M64="","pendiente",IF($M64&gt;$I64,"Retroceder",IF($N64="","pendiente",IF($O64&lt;=$I64,"Avanzar","Mantener")))))))))</f>
        <v/>
      </c>
      <c r="Q64" s="94" t="n"/>
    </row>
    <row r="65" ht="27" customHeight="1" s="52">
      <c r="A65" s="85" t="n">
        <v>46381</v>
      </c>
      <c r="B65" s="86" t="inlineStr">
        <is>
          <t>V</t>
        </is>
      </c>
      <c r="C65" s="87" t="inlineStr">
        <is>
          <t>S10</t>
        </is>
      </c>
      <c r="D65" s="88" t="inlineStr">
        <is>
          <t>Torso + bici 10' Z2</t>
        </is>
      </c>
      <c r="E65" s="89" t="inlineStr">
        <is>
          <t>—</t>
        </is>
      </c>
      <c r="F65" s="90" t="inlineStr">
        <is>
          <t>—</t>
        </is>
      </c>
      <c r="G65" s="91" t="n"/>
      <c r="H65" s="91" t="n"/>
      <c r="I65" s="92">
        <f>IF(COUNT(G65,H65)=0,"",MAX(G65,H65))</f>
        <v/>
      </c>
      <c r="J65" s="91" t="n"/>
      <c r="K65" s="91" t="n"/>
      <c r="L65" s="91" t="n"/>
      <c r="M65" s="92">
        <f>IF(I66="","",I66)</f>
        <v/>
      </c>
      <c r="N65" s="92">
        <f>IF(I67="","",I67)</f>
        <v/>
      </c>
      <c r="O65" s="92">
        <f>IF(OR(M65="",N65=""),"",MAX(M65,N65))</f>
        <v/>
      </c>
      <c r="P65" s="93">
        <f>IF($E65="—","—",IF($J65="","",IF($I65="","sin referencia",IF(AND($E65="Carrera (≤2/10)",$K65=""),"falta K",IF(OR($J65&gt;IF($E65="Carrera (≤2/10)",2,3),AND($E65="Carrera (≤2/10)",$K65="No")),"Retroceder",IF($M65="","pendiente",IF($M65&gt;$I65,"Retroceder",IF($N65="","pendiente",IF($O65&lt;=$I65,"Avanzar","Mantener")))))))))</f>
        <v/>
      </c>
      <c r="Q65" s="94" t="n"/>
    </row>
    <row r="66" ht="27" customHeight="1" s="52">
      <c r="A66" s="85" t="n">
        <v>46382</v>
      </c>
      <c r="B66" s="86" t="inlineStr">
        <is>
          <t>S</t>
        </is>
      </c>
      <c r="C66" s="87" t="inlineStr">
        <is>
          <t>S10</t>
        </is>
      </c>
      <c r="D66" s="88" t="inlineStr">
        <is>
          <t>Hombro/codo + abdominales (sin pierna)</t>
        </is>
      </c>
      <c r="E66" s="89" t="inlineStr">
        <is>
          <t>—</t>
        </is>
      </c>
      <c r="F66" s="90" t="inlineStr">
        <is>
          <t>—</t>
        </is>
      </c>
      <c r="G66" s="91" t="n"/>
      <c r="H66" s="91" t="n"/>
      <c r="I66" s="92">
        <f>IF(COUNT(G66,H66)=0,"",MAX(G66,H66))</f>
        <v/>
      </c>
      <c r="J66" s="91" t="n"/>
      <c r="K66" s="91" t="n"/>
      <c r="L66" s="91" t="n"/>
      <c r="M66" s="92">
        <f>IF(I67="","",I67)</f>
        <v/>
      </c>
      <c r="N66" s="92">
        <f>IF(I68="","",I68)</f>
        <v/>
      </c>
      <c r="O66" s="92">
        <f>IF(OR(M66="",N66=""),"",MAX(M66,N66))</f>
        <v/>
      </c>
      <c r="P66" s="93">
        <f>IF($E66="—","—",IF($J66="","",IF($I66="","sin referencia",IF(AND($E66="Carrera (≤2/10)",$K66=""),"falta K",IF(OR($J66&gt;IF($E66="Carrera (≤2/10)",2,3),AND($E66="Carrera (≤2/10)",$K66="No")),"Retroceder",IF($M66="","pendiente",IF($M66&gt;$I66,"Retroceder",IF($N66="","pendiente",IF($O66&lt;=$I66,"Avanzar","Mantener")))))))))</f>
        <v/>
      </c>
      <c r="Q66" s="94" t="n"/>
    </row>
    <row r="67" ht="27" customHeight="1" s="52">
      <c r="A67" s="85" t="n">
        <v>46383</v>
      </c>
      <c r="B67" s="86" t="inlineStr">
        <is>
          <t>D</t>
        </is>
      </c>
      <c r="C67" s="87" t="inlineStr">
        <is>
          <t>S10</t>
        </is>
      </c>
      <c r="D67" s="88" t="inlineStr">
        <is>
          <t>Carrera (repite el miércoles)</t>
        </is>
      </c>
      <c r="E67" s="89" t="inlineStr">
        <is>
          <t>Carrera (≤2/10)</t>
        </is>
      </c>
      <c r="F67" s="90" t="inlineStr">
        <is>
          <t>— (repite)</t>
        </is>
      </c>
      <c r="G67" s="91" t="n"/>
      <c r="H67" s="91" t="n"/>
      <c r="I67" s="92">
        <f>IF(COUNT(G67,H67)=0,"",MAX(G67,H67))</f>
        <v/>
      </c>
      <c r="J67" s="91" t="n"/>
      <c r="K67" s="91" t="n"/>
      <c r="L67" s="91" t="n"/>
      <c r="M67" s="92">
        <f>IF(I68="","",I68)</f>
        <v/>
      </c>
      <c r="N67" s="92">
        <f>IF(I69="","",I69)</f>
        <v/>
      </c>
      <c r="O67" s="92">
        <f>IF(OR(M67="",N67=""),"",MAX(M67,N67))</f>
        <v/>
      </c>
      <c r="P67" s="93">
        <f>IF($E67="—","—",IF($J67="","",IF($I67="","sin referencia",IF(AND($E67="Carrera (≤2/10)",$K67=""),"falta K",IF(OR($J67&gt;IF($E67="Carrera (≤2/10)",2,3),AND($E67="Carrera (≤2/10)",$K67="No")),"Retroceder",IF($M67="","pendiente",IF($M67&gt;$I67,"Retroceder",IF($N67="","pendiente",IF($O67&lt;=$I67,"Avanzar","Mantener")))))))))</f>
        <v/>
      </c>
      <c r="Q67" s="94" t="n"/>
    </row>
    <row r="70" ht="19.5" customHeight="1" s="52">
      <c r="A70" s="65" t="inlineStr">
        <is>
          <t>Resumen semanal</t>
        </is>
      </c>
      <c r="B70" s="56" t="n"/>
      <c r="C70" s="56" t="n"/>
      <c r="D70" s="56" t="n"/>
      <c r="E70" s="56" t="n"/>
      <c r="F70" s="56" t="n"/>
      <c r="G70" s="56" t="n"/>
      <c r="H70" s="56" t="n"/>
      <c r="I70" s="56" t="n"/>
      <c r="J70" s="56" t="n"/>
      <c r="K70" s="56" t="n"/>
      <c r="L70" s="56" t="n"/>
      <c r="M70" s="56" t="n"/>
      <c r="N70" s="56" t="n"/>
      <c r="O70" s="56" t="n"/>
      <c r="P70" s="56" t="n"/>
      <c r="Q70" s="57" t="n"/>
    </row>
    <row r="71" ht="30" customHeight="1" s="52">
      <c r="A71" s="84" t="inlineStr">
        <is>
          <t>Semana</t>
        </is>
      </c>
      <c r="B71" s="84" t="inlineStr">
        <is>
          <t>Molestia mañana media</t>
        </is>
      </c>
      <c r="C71" s="56" t="n"/>
      <c r="D71" s="57" t="n"/>
      <c r="E71" s="84" t="inlineStr">
        <is>
          <t>Peor mañana</t>
        </is>
      </c>
      <c r="F71" s="84" t="inlineStr">
        <is>
          <t>Sesiones a retroceder</t>
        </is>
      </c>
      <c r="G71" s="84" t="inlineStr">
        <is>
          <t>Chasquidos dolorosos</t>
        </is>
      </c>
      <c r="H71" s="57" t="n"/>
      <c r="I71" s="84" t="inlineStr">
        <is>
          <t>Nivel de carrera real</t>
        </is>
      </c>
      <c r="J71" s="57" t="n"/>
      <c r="K71" s="84" t="inlineStr">
        <is>
          <t>Escalón D real (0-4)</t>
        </is>
      </c>
      <c r="L71" s="57" t="n"/>
      <c r="M71" s="84" t="inlineStr">
        <is>
          <t>Notas</t>
        </is>
      </c>
      <c r="N71" s="56" t="n"/>
      <c r="O71" s="56" t="n"/>
      <c r="P71" s="56" t="n"/>
      <c r="Q71" s="57" t="n"/>
    </row>
    <row r="72" ht="15" customHeight="1" s="52">
      <c r="A72" s="86" t="inlineStr">
        <is>
          <t>S2</t>
        </is>
      </c>
      <c r="B72" s="92">
        <f>IF(COUNTIFS($C$5:$C$67,$A72,$I$5:$I$67,"&gt;=0")=0,"",ROUND(SUMIFS($I$5:$I$67,$C$5:$C$67,$A72)/COUNTIFS($C$5:$C$67,$A72,$I$5:$I$67,"&gt;=0"),1))</f>
        <v/>
      </c>
      <c r="C72" s="56" t="n"/>
      <c r="D72" s="57" t="n"/>
      <c r="E72" s="92">
        <f t="array" ref="E72:E72">IF(COUNTIFS($C$5:$C$67,$A72,$I$5:$I$67,"&gt;=0")=0,"",MAX(IF(($C$5:$C$67=$A72)*ISNUMBER($I$5:$I$67),$I$5:$I$67)))</f>
        <v/>
      </c>
      <c r="F72" s="92">
        <f>COUNTIFS($C$5:$C$67,$A72,$P$5:$P$67,"Retroceder")</f>
        <v/>
      </c>
      <c r="G72" s="92">
        <f>COUNTIFS($C$5:$C$67,$A72,$L$5:$L$67,"Sí")</f>
        <v/>
      </c>
      <c r="H72" s="57" t="n"/>
      <c r="I72" s="91" t="n"/>
      <c r="J72" s="57" t="n"/>
      <c r="K72" s="91" t="n"/>
      <c r="L72" s="57" t="n"/>
      <c r="M72" s="91" t="n"/>
      <c r="N72" s="56" t="n"/>
      <c r="O72" s="56" t="n"/>
      <c r="P72" s="56" t="n"/>
      <c r="Q72" s="57" t="n"/>
    </row>
    <row r="73" ht="15" customHeight="1" s="52">
      <c r="A73" s="86" t="inlineStr">
        <is>
          <t>S3</t>
        </is>
      </c>
      <c r="B73" s="92">
        <f>IF(COUNTIFS($C$5:$C$67,$A73,$I$5:$I$67,"&gt;=0")=0,"",ROUND(SUMIFS($I$5:$I$67,$C$5:$C$67,$A73)/COUNTIFS($C$5:$C$67,$A73,$I$5:$I$67,"&gt;=0"),1))</f>
        <v/>
      </c>
      <c r="C73" s="56" t="n"/>
      <c r="D73" s="57" t="n"/>
      <c r="E73" s="92">
        <f t="array" ref="E73:E73">IF(COUNTIFS($C$5:$C$67,$A73,$I$5:$I$67,"&gt;=0")=0,"",MAX(IF(($C$5:$C$67=$A73)*ISNUMBER($I$5:$I$67),$I$5:$I$67)))</f>
        <v/>
      </c>
      <c r="F73" s="92">
        <f>COUNTIFS($C$5:$C$67,$A73,$P$5:$P$67,"Retroceder")</f>
        <v/>
      </c>
      <c r="G73" s="92">
        <f>COUNTIFS($C$5:$C$67,$A73,$L$5:$L$67,"Sí")</f>
        <v/>
      </c>
      <c r="H73" s="57" t="n"/>
      <c r="I73" s="91" t="n"/>
      <c r="J73" s="57" t="n"/>
      <c r="K73" s="91" t="n"/>
      <c r="L73" s="57" t="n"/>
      <c r="M73" s="91" t="n"/>
      <c r="N73" s="56" t="n"/>
      <c r="O73" s="56" t="n"/>
      <c r="P73" s="56" t="n"/>
      <c r="Q73" s="57" t="n"/>
    </row>
    <row r="74" ht="15" customHeight="1" s="52">
      <c r="A74" s="86" t="inlineStr">
        <is>
          <t>S4</t>
        </is>
      </c>
      <c r="B74" s="92">
        <f>IF(COUNTIFS($C$5:$C$67,$A74,$I$5:$I$67,"&gt;=0")=0,"",ROUND(SUMIFS($I$5:$I$67,$C$5:$C$67,$A74)/COUNTIFS($C$5:$C$67,$A74,$I$5:$I$67,"&gt;=0"),1))</f>
        <v/>
      </c>
      <c r="C74" s="56" t="n"/>
      <c r="D74" s="57" t="n"/>
      <c r="E74" s="92">
        <f t="array" ref="E74:E74">IF(COUNTIFS($C$5:$C$67,$A74,$I$5:$I$67,"&gt;=0")=0,"",MAX(IF(($C$5:$C$67=$A74)*ISNUMBER($I$5:$I$67),$I$5:$I$67)))</f>
        <v/>
      </c>
      <c r="F74" s="92">
        <f>COUNTIFS($C$5:$C$67,$A74,$P$5:$P$67,"Retroceder")</f>
        <v/>
      </c>
      <c r="G74" s="92">
        <f>COUNTIFS($C$5:$C$67,$A74,$L$5:$L$67,"Sí")</f>
        <v/>
      </c>
      <c r="H74" s="57" t="n"/>
      <c r="I74" s="91" t="n"/>
      <c r="J74" s="57" t="n"/>
      <c r="K74" s="91" t="n"/>
      <c r="L74" s="57" t="n"/>
      <c r="M74" s="91" t="n"/>
      <c r="N74" s="56" t="n"/>
      <c r="O74" s="56" t="n"/>
      <c r="P74" s="56" t="n"/>
      <c r="Q74" s="57" t="n"/>
    </row>
    <row r="75" ht="15" customHeight="1" s="52">
      <c r="A75" s="86" t="inlineStr">
        <is>
          <t>S5</t>
        </is>
      </c>
      <c r="B75" s="92">
        <f>IF(COUNTIFS($C$5:$C$67,$A75,$I$5:$I$67,"&gt;=0")=0,"",ROUND(SUMIFS($I$5:$I$67,$C$5:$C$67,$A75)/COUNTIFS($C$5:$C$67,$A75,$I$5:$I$67,"&gt;=0"),1))</f>
        <v/>
      </c>
      <c r="C75" s="56" t="n"/>
      <c r="D75" s="57" t="n"/>
      <c r="E75" s="92">
        <f t="array" ref="E75:E75">IF(COUNTIFS($C$5:$C$67,$A75,$I$5:$I$67,"&gt;=0")=0,"",MAX(IF(($C$5:$C$67=$A75)*ISNUMBER($I$5:$I$67),$I$5:$I$67)))</f>
        <v/>
      </c>
      <c r="F75" s="92">
        <f>COUNTIFS($C$5:$C$67,$A75,$P$5:$P$67,"Retroceder")</f>
        <v/>
      </c>
      <c r="G75" s="92">
        <f>COUNTIFS($C$5:$C$67,$A75,$L$5:$L$67,"Sí")</f>
        <v/>
      </c>
      <c r="H75" s="57" t="n"/>
      <c r="I75" s="91" t="n"/>
      <c r="J75" s="57" t="n"/>
      <c r="K75" s="91" t="n"/>
      <c r="L75" s="57" t="n"/>
      <c r="M75" s="91" t="n"/>
      <c r="N75" s="56" t="n"/>
      <c r="O75" s="56" t="n"/>
      <c r="P75" s="56" t="n"/>
      <c r="Q75" s="57" t="n"/>
    </row>
    <row r="76" ht="15" customHeight="1" s="52">
      <c r="A76" s="86" t="inlineStr">
        <is>
          <t>S6</t>
        </is>
      </c>
      <c r="B76" s="92">
        <f>IF(COUNTIFS($C$5:$C$67,$A76,$I$5:$I$67,"&gt;=0")=0,"",ROUND(SUMIFS($I$5:$I$67,$C$5:$C$67,$A76)/COUNTIFS($C$5:$C$67,$A76,$I$5:$I$67,"&gt;=0"),1))</f>
        <v/>
      </c>
      <c r="C76" s="56" t="n"/>
      <c r="D76" s="57" t="n"/>
      <c r="E76" s="92">
        <f t="array" ref="E76:E76">IF(COUNTIFS($C$5:$C$67,$A76,$I$5:$I$67,"&gt;=0")=0,"",MAX(IF(($C$5:$C$67=$A76)*ISNUMBER($I$5:$I$67),$I$5:$I$67)))</f>
        <v/>
      </c>
      <c r="F76" s="92">
        <f>COUNTIFS($C$5:$C$67,$A76,$P$5:$P$67,"Retroceder")</f>
        <v/>
      </c>
      <c r="G76" s="92">
        <f>COUNTIFS($C$5:$C$67,$A76,$L$5:$L$67,"Sí")</f>
        <v/>
      </c>
      <c r="H76" s="57" t="n"/>
      <c r="I76" s="91" t="n"/>
      <c r="J76" s="57" t="n"/>
      <c r="K76" s="91" t="n"/>
      <c r="L76" s="57" t="n"/>
      <c r="M76" s="91" t="n"/>
      <c r="N76" s="56" t="n"/>
      <c r="O76" s="56" t="n"/>
      <c r="P76" s="56" t="n"/>
      <c r="Q76" s="57" t="n"/>
    </row>
    <row r="77" ht="15" customHeight="1" s="52">
      <c r="A77" s="86" t="inlineStr">
        <is>
          <t>S7</t>
        </is>
      </c>
      <c r="B77" s="92">
        <f>IF(COUNTIFS($C$5:$C$67,$A77,$I$5:$I$67,"&gt;=0")=0,"",ROUND(SUMIFS($I$5:$I$67,$C$5:$C$67,$A77)/COUNTIFS($C$5:$C$67,$A77,$I$5:$I$67,"&gt;=0"),1))</f>
        <v/>
      </c>
      <c r="C77" s="56" t="n"/>
      <c r="D77" s="57" t="n"/>
      <c r="E77" s="92">
        <f t="array" ref="E77:E77">IF(COUNTIFS($C$5:$C$67,$A77,$I$5:$I$67,"&gt;=0")=0,"",MAX(IF(($C$5:$C$67=$A77)*ISNUMBER($I$5:$I$67),$I$5:$I$67)))</f>
        <v/>
      </c>
      <c r="F77" s="92">
        <f>COUNTIFS($C$5:$C$67,$A77,$P$5:$P$67,"Retroceder")</f>
        <v/>
      </c>
      <c r="G77" s="92">
        <f>COUNTIFS($C$5:$C$67,$A77,$L$5:$L$67,"Sí")</f>
        <v/>
      </c>
      <c r="H77" s="57" t="n"/>
      <c r="I77" s="91" t="n"/>
      <c r="J77" s="57" t="n"/>
      <c r="K77" s="91" t="n"/>
      <c r="L77" s="57" t="n"/>
      <c r="M77" s="91" t="n"/>
      <c r="N77" s="56" t="n"/>
      <c r="O77" s="56" t="n"/>
      <c r="P77" s="56" t="n"/>
      <c r="Q77" s="57" t="n"/>
    </row>
    <row r="78" ht="15" customHeight="1" s="52">
      <c r="A78" s="86" t="inlineStr">
        <is>
          <t>S8</t>
        </is>
      </c>
      <c r="B78" s="92">
        <f>IF(COUNTIFS($C$5:$C$67,$A78,$I$5:$I$67,"&gt;=0")=0,"",ROUND(SUMIFS($I$5:$I$67,$C$5:$C$67,$A78)/COUNTIFS($C$5:$C$67,$A78,$I$5:$I$67,"&gt;=0"),1))</f>
        <v/>
      </c>
      <c r="C78" s="56" t="n"/>
      <c r="D78" s="57" t="n"/>
      <c r="E78" s="92">
        <f t="array" ref="E78:E78">IF(COUNTIFS($C$5:$C$67,$A78,$I$5:$I$67,"&gt;=0")=0,"",MAX(IF(($C$5:$C$67=$A78)*ISNUMBER($I$5:$I$67),$I$5:$I$67)))</f>
        <v/>
      </c>
      <c r="F78" s="92">
        <f>COUNTIFS($C$5:$C$67,$A78,$P$5:$P$67,"Retroceder")</f>
        <v/>
      </c>
      <c r="G78" s="92">
        <f>COUNTIFS($C$5:$C$67,$A78,$L$5:$L$67,"Sí")</f>
        <v/>
      </c>
      <c r="H78" s="57" t="n"/>
      <c r="I78" s="91" t="n"/>
      <c r="J78" s="57" t="n"/>
      <c r="K78" s="91" t="n"/>
      <c r="L78" s="57" t="n"/>
      <c r="M78" s="91" t="n"/>
      <c r="N78" s="56" t="n"/>
      <c r="O78" s="56" t="n"/>
      <c r="P78" s="56" t="n"/>
      <c r="Q78" s="57" t="n"/>
    </row>
    <row r="79" ht="15" customHeight="1" s="52">
      <c r="A79" s="86" t="inlineStr">
        <is>
          <t>S9</t>
        </is>
      </c>
      <c r="B79" s="92">
        <f>IF(COUNTIFS($C$5:$C$67,$A79,$I$5:$I$67,"&gt;=0")=0,"",ROUND(SUMIFS($I$5:$I$67,$C$5:$C$67,$A79)/COUNTIFS($C$5:$C$67,$A79,$I$5:$I$67,"&gt;=0"),1))</f>
        <v/>
      </c>
      <c r="C79" s="56" t="n"/>
      <c r="D79" s="57" t="n"/>
      <c r="E79" s="92">
        <f t="array" ref="E79:E79">IF(COUNTIFS($C$5:$C$67,$A79,$I$5:$I$67,"&gt;=0")=0,"",MAX(IF(($C$5:$C$67=$A79)*ISNUMBER($I$5:$I$67),$I$5:$I$67)))</f>
        <v/>
      </c>
      <c r="F79" s="92">
        <f>COUNTIFS($C$5:$C$67,$A79,$P$5:$P$67,"Retroceder")</f>
        <v/>
      </c>
      <c r="G79" s="92">
        <f>COUNTIFS($C$5:$C$67,$A79,$L$5:$L$67,"Sí")</f>
        <v/>
      </c>
      <c r="H79" s="57" t="n"/>
      <c r="I79" s="91" t="n"/>
      <c r="J79" s="57" t="n"/>
      <c r="K79" s="91" t="n"/>
      <c r="L79" s="57" t="n"/>
      <c r="M79" s="91" t="n"/>
      <c r="N79" s="56" t="n"/>
      <c r="O79" s="56" t="n"/>
      <c r="P79" s="56" t="n"/>
      <c r="Q79" s="57" t="n"/>
    </row>
    <row r="80" ht="15" customHeight="1" s="52">
      <c r="A80" s="86" t="inlineStr">
        <is>
          <t>S10</t>
        </is>
      </c>
      <c r="B80" s="92">
        <f>IF(COUNTIFS($C$5:$C$67,$A80,$I$5:$I$67,"&gt;=0")=0,"",ROUND(SUMIFS($I$5:$I$67,$C$5:$C$67,$A80)/COUNTIFS($C$5:$C$67,$A80,$I$5:$I$67,"&gt;=0"),1))</f>
        <v/>
      </c>
      <c r="C80" s="56" t="n"/>
      <c r="D80" s="57" t="n"/>
      <c r="E80" s="92">
        <f t="array" ref="E80:E80">IF(COUNTIFS($C$5:$C$67,$A80,$I$5:$I$67,"&gt;=0")=0,"",MAX(IF(($C$5:$C$67=$A80)*ISNUMBER($I$5:$I$67),$I$5:$I$67)))</f>
        <v/>
      </c>
      <c r="F80" s="92">
        <f>COUNTIFS($C$5:$C$67,$A80,$P$5:$P$67,"Retroceder")</f>
        <v/>
      </c>
      <c r="G80" s="92">
        <f>COUNTIFS($C$5:$C$67,$A80,$L$5:$L$67,"Sí")</f>
        <v/>
      </c>
      <c r="H80" s="57" t="n"/>
      <c r="I80" s="91" t="n"/>
      <c r="J80" s="57" t="n"/>
      <c r="K80" s="91" t="n"/>
      <c r="L80" s="57" t="n"/>
      <c r="M80" s="91" t="n"/>
      <c r="N80" s="56" t="n"/>
      <c r="O80" s="56" t="n"/>
      <c r="P80" s="56" t="n"/>
      <c r="Q80" s="57" t="n"/>
    </row>
    <row r="81" ht="15" customHeight="1" s="52">
      <c r="A81" s="101" t="inlineStr">
        <is>
          <t>S2 · semana de referencia</t>
        </is>
      </c>
      <c r="B81" s="56" t="n"/>
      <c r="C81" s="56" t="n"/>
      <c r="D81" s="57" t="n"/>
      <c r="E81" s="101">
        <f>IF(COUNT(I5:I11)=0,"Pendiente: falta la primera medición de S2",IF(MAX(I5:I11)&gt;IF(ISNUMBER(I5),I5,IF(ISNUMBER(I6),I6,IF(ISNUMBER(I7),I7,IF(ISNUMBER(I8),I8,IF(ISNUMBER(I9),I9,IF(ISNUMBER(I10),I10,IF(ISNUMBER(I11),I11,"x"))))))),"REPITE S2: alguna mañana salió peor que la referencia; en S3 no sube nada","S2 estable por ahora: en S3 se sigue el plan"))</f>
        <v/>
      </c>
      <c r="F81" s="56" t="n"/>
      <c r="G81" s="56" t="n"/>
      <c r="H81" s="56" t="n"/>
      <c r="I81" s="56" t="n"/>
      <c r="J81" s="56" t="n"/>
      <c r="K81" s="56" t="n"/>
      <c r="L81" s="56" t="n"/>
      <c r="M81" s="56" t="n"/>
      <c r="N81" s="56" t="n"/>
      <c r="O81" s="56" t="n"/>
      <c r="P81" s="56" t="n"/>
      <c r="Q81" s="57" t="n"/>
    </row>
    <row r="82" ht="15" customHeight="1" s="52">
      <c r="A82" s="101" t="inlineStr">
        <is>
          <t>AVISO S4 (fisio)</t>
        </is>
      </c>
      <c r="B82" s="56" t="n"/>
      <c r="C82" s="56" t="n"/>
      <c r="D82" s="57" t="n"/>
      <c r="E82" s="101">
        <f>IF(TODAY()&lt;DATE(2026,11,15),"Pendiente: se calcula al cerrar S4 (domingo 15/11)",IF(OR(COUNTIFS($C$5:$C$67,"S2",$I$5:$I$67,"&gt;=0")&lt;5,COUNTIFS($C$5:$C$67,"S4",$I$5:$I$67,"&gt;=0")&lt;5),"Pendiente: hacen falta al menos 5 mañanas registradas en S2 y en S4",IF(ROUND(B74-B72,1)&gt;=0.5,"PEOR que en S2 (+0,5 o más): para la progresión y la valoración del fisio pasa a ser prioritaria",IF(ROUND(B72-B74,1)&gt;=0.5,"MEJOR que en S2 (−0,5 o más): sigue el plan","IGUAL que en S2 (menos de 0,5 de diferencia): la valoración del fisio pasa a ser prioritaria"))))</f>
        <v/>
      </c>
      <c r="F82" s="56" t="n"/>
      <c r="G82" s="56" t="n"/>
      <c r="H82" s="56" t="n"/>
      <c r="I82" s="56" t="n"/>
      <c r="J82" s="56" t="n"/>
      <c r="K82" s="56" t="n"/>
      <c r="L82" s="56" t="n"/>
      <c r="M82" s="56" t="n"/>
      <c r="N82" s="56" t="n"/>
      <c r="O82" s="56" t="n"/>
      <c r="P82" s="56" t="n"/>
      <c r="Q82" s="57" t="n"/>
    </row>
    <row r="83" ht="15" customHeight="1" s="52">
      <c r="A83" s="101" t="inlineStr">
        <is>
          <t>Chasquido doloroso</t>
        </is>
      </c>
      <c r="B83" s="56" t="n"/>
      <c r="C83" s="56" t="n"/>
      <c r="D83" s="57" t="n"/>
      <c r="E83" s="101">
        <f>IF(COUNTIF($L$5:$L$67,"Sí")&gt;0,"Registrado: la valoración del fisio pasa a ser prioritaria","Sin chasquido doloroso por ahora")</f>
        <v/>
      </c>
      <c r="F83" s="56" t="n"/>
      <c r="G83" s="56" t="n"/>
      <c r="H83" s="56" t="n"/>
      <c r="I83" s="56" t="n"/>
      <c r="J83" s="56" t="n"/>
      <c r="K83" s="56" t="n"/>
      <c r="L83" s="56" t="n"/>
      <c r="M83" s="56" t="n"/>
      <c r="N83" s="56" t="n"/>
      <c r="O83" s="56" t="n"/>
      <c r="P83" s="56" t="n"/>
      <c r="Q83" s="57" t="n"/>
    </row>
    <row r="84" ht="27.75" customHeight="1" s="52">
      <c r="A84" s="73" t="inlineStr">
        <is>
          <t>La molestia de cada semana es la media de las mañanas (peor de las dos pruebas). El aviso S4 se calcula al cerrar S4 (domingo 15/11) con al menos 5 mañanas en S2 y en S4: PEOR si la media de S4 supera en 0,5 o más a la de S2, MEJOR si queda 0,5 o más por debajo y, si no, IGUAL. IGUAL o PEOR: la valoración del fisio pasa a ser prioritaria; PEOR además para la progresión [LÓGICA].</t>
        </is>
      </c>
      <c r="B84" s="56" t="n"/>
      <c r="C84" s="56" t="n"/>
      <c r="D84" s="56" t="n"/>
      <c r="E84" s="56" t="n"/>
      <c r="F84" s="56" t="n"/>
      <c r="G84" s="56" t="n"/>
      <c r="H84" s="56" t="n"/>
      <c r="I84" s="56" t="n"/>
      <c r="J84" s="56" t="n"/>
      <c r="K84" s="56" t="n"/>
      <c r="L84" s="56" t="n"/>
      <c r="M84" s="56" t="n"/>
      <c r="N84" s="56" t="n"/>
      <c r="O84" s="56" t="n"/>
      <c r="P84" s="56" t="n"/>
      <c r="Q84" s="57" t="n"/>
    </row>
    <row r="87" ht="19.5" customHeight="1" s="52">
      <c r="A87" s="65" t="inlineStr">
        <is>
          <t>Entrada a la carrera · regla de carrera: ≤2/10 (si no se cumple, se repite el miércoles siguiente: apunta aquí el último intento)</t>
        </is>
      </c>
      <c r="B87" s="56" t="n"/>
      <c r="C87" s="56" t="n"/>
      <c r="D87" s="56" t="n"/>
      <c r="E87" s="56" t="n"/>
      <c r="F87" s="56" t="n"/>
      <c r="G87" s="56" t="n"/>
      <c r="H87" s="56" t="n"/>
      <c r="I87" s="56" t="n"/>
      <c r="J87" s="56" t="n"/>
      <c r="K87" s="56" t="n"/>
      <c r="L87" s="56" t="n"/>
      <c r="M87" s="56" t="n"/>
      <c r="N87" s="56" t="n"/>
      <c r="O87" s="56" t="n"/>
      <c r="P87" s="56" t="n"/>
      <c r="Q87" s="57" t="n"/>
    </row>
    <row r="88" ht="15" customHeight="1" s="52">
      <c r="A88" s="84" t="inlineStr">
        <is>
          <t>Criterio</t>
        </is>
      </c>
      <c r="B88" s="56" t="n"/>
      <c r="C88" s="57" t="n"/>
      <c r="D88" s="84" t="inlineStr">
        <is>
          <t>≤2/10 durante</t>
        </is>
      </c>
      <c r="E88" s="84" t="inlineStr">
        <is>
          <t>Nivel previo en ≤60 min</t>
        </is>
      </c>
      <c r="F88" s="84" t="inlineStr">
        <is>
          <t>Mañana siguiente no peor (auto)</t>
        </is>
      </c>
      <c r="G88" s="84" t="inlineStr">
        <is>
          <t>Día</t>
        </is>
      </c>
      <c r="H88" s="84" t="inlineStr">
        <is>
          <t>¿Cumple? (auto)</t>
        </is>
      </c>
      <c r="I88" s="84" t="inlineStr">
        <is>
          <t>Notas</t>
        </is>
      </c>
      <c r="J88" s="56" t="n"/>
      <c r="K88" s="56" t="n"/>
      <c r="L88" s="56" t="n"/>
      <c r="M88" s="56" t="n"/>
      <c r="N88" s="56" t="n"/>
      <c r="O88" s="56" t="n"/>
      <c r="P88" s="56" t="n"/>
      <c r="Q88" s="57" t="n"/>
    </row>
    <row r="89" ht="27" customHeight="1" s="52">
      <c r="A89" s="88" t="inlineStr">
        <is>
          <t>Paseo de 30 min a paso rápido: ≤2/10, nivel previo en ≤60 min y el miércoles por la mañana no peor</t>
        </is>
      </c>
      <c r="B89" s="56" t="n"/>
      <c r="C89" s="57" t="n"/>
      <c r="D89" s="91" t="n"/>
      <c r="E89" s="91" t="n"/>
      <c r="F89" s="92">
        <f>IF(G89="","",IFERROR(IF(OR(INDEX($I$5:$I$67,MATCH(G89,$A$5:$A$67,0))="",INDEX($I$5:$I$67,MATCH(G89+1,$A$5:$A$67,0))=""),"",IF(INDEX($I$5:$I$67,MATCH(G89+1,$A$5:$A$67,0))&lt;=INDEX($I$5:$I$67,MATCH(G89,$A$5:$A$67,0)),"Sí","No")),""))</f>
        <v/>
      </c>
      <c r="G89" s="102" t="n">
        <v>46322</v>
      </c>
      <c r="H89" s="92">
        <f>IF(OR(D89="No",E89="No",F89="No"),"No",IF(AND(D89="Sí",E89="Sí",F89="Sí"),"Sí",""))</f>
        <v/>
      </c>
      <c r="I89" s="91" t="n"/>
      <c r="J89" s="56" t="n"/>
      <c r="K89" s="56" t="n"/>
      <c r="L89" s="56" t="n"/>
      <c r="M89" s="56" t="n"/>
      <c r="N89" s="56" t="n"/>
      <c r="O89" s="56" t="n"/>
      <c r="P89" s="56" t="n"/>
      <c r="Q89" s="57" t="n"/>
    </row>
    <row r="90" ht="27" customHeight="1" s="52">
      <c r="A90" s="88" t="inlineStr">
        <is>
          <t>10 touchdown con cada pierna: ≤2/10</t>
        </is>
      </c>
      <c r="B90" s="56" t="n"/>
      <c r="C90" s="57" t="n"/>
      <c r="D90" s="91" t="n"/>
      <c r="E90" s="87" t="inlineStr">
        <is>
          <t>—</t>
        </is>
      </c>
      <c r="F90" s="87" t="inlineStr">
        <is>
          <t>—</t>
        </is>
      </c>
      <c r="G90" s="103">
        <f>G89+1</f>
        <v/>
      </c>
      <c r="H90" s="92">
        <f>IF(D90="","",D90)</f>
        <v/>
      </c>
      <c r="I90" s="91" t="n"/>
      <c r="J90" s="56" t="n"/>
      <c r="K90" s="56" t="n"/>
      <c r="L90" s="56" t="n"/>
      <c r="M90" s="56" t="n"/>
      <c r="N90" s="56" t="n"/>
      <c r="O90" s="56" t="n"/>
      <c r="P90" s="56" t="n"/>
      <c r="Q90" s="57" t="n"/>
    </row>
    <row r="91" ht="27" customHeight="1" s="52">
      <c r="A91" s="88" t="inlineStr">
        <is>
          <t>20 saltitos a dos piernas: ≤2/10</t>
        </is>
      </c>
      <c r="B91" s="56" t="n"/>
      <c r="C91" s="57" t="n"/>
      <c r="D91" s="91" t="n"/>
      <c r="E91" s="87" t="inlineStr">
        <is>
          <t>—</t>
        </is>
      </c>
      <c r="F91" s="87" t="inlineStr">
        <is>
          <t>—</t>
        </is>
      </c>
      <c r="G91" s="103">
        <f>G89+1</f>
        <v/>
      </c>
      <c r="H91" s="92">
        <f>IF(D91="","",D91)</f>
        <v/>
      </c>
      <c r="I91" s="91" t="n"/>
      <c r="J91" s="56" t="n"/>
      <c r="K91" s="56" t="n"/>
      <c r="L91" s="56" t="n"/>
      <c r="M91" s="56" t="n"/>
      <c r="N91" s="56" t="n"/>
      <c r="O91" s="56" t="n"/>
      <c r="P91" s="56" t="n"/>
      <c r="Q91" s="57" t="n"/>
    </row>
    <row r="92" ht="15" customHeight="1" s="52">
      <c r="A92" s="101" t="inlineStr">
        <is>
          <t>Resultado</t>
        </is>
      </c>
      <c r="B92" s="56" t="n"/>
      <c r="C92" s="56" t="n"/>
      <c r="D92" s="56" t="n"/>
      <c r="E92" s="56" t="n"/>
      <c r="F92" s="56" t="n"/>
      <c r="G92" s="57" t="n"/>
      <c r="H92" s="104">
        <f>IF(COUNTIF(H89:H91,"Sí")=3,"SÍ: 1.ª carrera hoy (N1)",IF(COUNTIF(H89:H91,"No")&gt;0,"NO: esta semana no hay carrera (el domingo, como mucho, un paseo); repite los criterios el miércoles siguiente","Pendiente"))</f>
        <v/>
      </c>
      <c r="I92" s="56" t="n"/>
      <c r="J92" s="56" t="n"/>
      <c r="K92" s="56" t="n"/>
      <c r="L92" s="56" t="n"/>
      <c r="M92" s="56" t="n"/>
      <c r="N92" s="56" t="n"/>
      <c r="O92" s="56" t="n"/>
      <c r="P92" s="56" t="n"/>
      <c r="Q92" s="57" t="n"/>
    </row>
    <row r="95" ht="19.5" customHeight="1" s="52">
      <c r="A95" s="65" t="inlineStr">
        <is>
          <t>Test de fuerza · extensión unilateral en máquina, rango fijo 90→45° (jueves, al empezar la sesión)</t>
        </is>
      </c>
      <c r="B95" s="56" t="n"/>
      <c r="C95" s="56" t="n"/>
      <c r="D95" s="56" t="n"/>
      <c r="E95" s="56" t="n"/>
      <c r="F95" s="56" t="n"/>
      <c r="G95" s="56" t="n"/>
      <c r="H95" s="56" t="n"/>
      <c r="I95" s="56" t="n"/>
      <c r="J95" s="56" t="n"/>
      <c r="K95" s="56" t="n"/>
      <c r="L95" s="56" t="n"/>
      <c r="M95" s="56" t="n"/>
      <c r="N95" s="56" t="n"/>
      <c r="O95" s="56" t="n"/>
      <c r="P95" s="56" t="n"/>
      <c r="Q95" s="57" t="n"/>
    </row>
    <row r="96" ht="30" customHeight="1" s="52">
      <c r="A96" s="84" t="inlineStr">
        <is>
          <t>Test</t>
        </is>
      </c>
      <c r="B96" s="56" t="n"/>
      <c r="C96" s="57" t="n"/>
      <c r="D96" s="84" t="inlineStr">
        <is>
          <t>Fecha</t>
        </is>
      </c>
      <c r="E96" s="84" t="inlineStr">
        <is>
          <t>Rango</t>
        </is>
      </c>
      <c r="F96" s="84" t="inlineStr">
        <is>
          <t>Carga (kg)</t>
        </is>
      </c>
      <c r="G96" s="84" t="inlineStr">
        <is>
          <t>Reps D</t>
        </is>
      </c>
      <c r="H96" s="84" t="inlineStr">
        <is>
          <t>Reps I</t>
        </is>
      </c>
      <c r="I96" s="84" t="inlineStr">
        <is>
          <t>Fuerza est. D</t>
        </is>
      </c>
      <c r="J96" s="84" t="inlineStr">
        <is>
          <t>Fuerza est. I</t>
        </is>
      </c>
      <c r="K96" s="84" t="inlineStr">
        <is>
          <t>Simetría D/I</t>
        </is>
      </c>
      <c r="L96" s="84" t="inlineStr">
        <is>
          <t>¿≥90%?</t>
        </is>
      </c>
      <c r="M96" s="84" t="inlineStr">
        <is>
          <t>Notas</t>
        </is>
      </c>
      <c r="N96" s="56" t="n"/>
      <c r="O96" s="56" t="n"/>
      <c r="P96" s="56" t="n"/>
      <c r="Q96" s="57" t="n"/>
    </row>
    <row r="97" ht="15" customHeight="1" s="52">
      <c r="A97" s="101" t="inlineStr">
        <is>
          <t>Test 1 (S2)</t>
        </is>
      </c>
      <c r="B97" s="56" t="n"/>
      <c r="C97" s="57" t="n"/>
      <c r="D97" s="85" t="n">
        <v>46324</v>
      </c>
      <c r="E97" s="87" t="inlineStr">
        <is>
          <t>90→45°</t>
        </is>
      </c>
      <c r="F97" s="91" t="n"/>
      <c r="G97" s="91" t="n"/>
      <c r="H97" s="91" t="n"/>
      <c r="I97" s="92">
        <f>IF(OR(F97="",G97=""),"",ROUND(F97*(1+G97/30),1))</f>
        <v/>
      </c>
      <c r="J97" s="92">
        <f>IF(OR(F97="",H97=""),"",ROUND(F97*(1+H97/30),1))</f>
        <v/>
      </c>
      <c r="K97" s="105">
        <f>IF(OR(I97="",J97=""),"",I97/J97)</f>
        <v/>
      </c>
      <c r="L97" s="93">
        <f>IF(K97="","",IF(K97&gt;=0.9,"Sí","No"))</f>
        <v/>
      </c>
      <c r="M97" s="91" t="n"/>
      <c r="N97" s="56" t="n"/>
      <c r="O97" s="56" t="n"/>
      <c r="P97" s="56" t="n"/>
      <c r="Q97" s="57" t="n"/>
    </row>
    <row r="98" ht="15" customHeight="1" s="52">
      <c r="A98" s="101" t="inlineStr">
        <is>
          <t>Test 2 (S5)</t>
        </is>
      </c>
      <c r="B98" s="56" t="n"/>
      <c r="C98" s="57" t="n"/>
      <c r="D98" s="85" t="n">
        <v>46345</v>
      </c>
      <c r="E98" s="87" t="inlineStr">
        <is>
          <t>90→45°</t>
        </is>
      </c>
      <c r="F98" s="91" t="n"/>
      <c r="G98" s="91" t="n"/>
      <c r="H98" s="91" t="n"/>
      <c r="I98" s="92">
        <f>IF(OR(F98="",G98=""),"",ROUND(F98*(1+G98/30),1))</f>
        <v/>
      </c>
      <c r="J98" s="92">
        <f>IF(OR(F98="",H98=""),"",ROUND(F98*(1+H98/30),1))</f>
        <v/>
      </c>
      <c r="K98" s="105">
        <f>IF(OR(I98="",J98=""),"",I98/J98)</f>
        <v/>
      </c>
      <c r="L98" s="93">
        <f>IF(K98="","",IF(K98&gt;=0.9,"Sí","No"))</f>
        <v/>
      </c>
      <c r="M98" s="91" t="n"/>
      <c r="N98" s="56" t="n"/>
      <c r="O98" s="56" t="n"/>
      <c r="P98" s="56" t="n"/>
      <c r="Q98" s="57" t="n"/>
    </row>
    <row r="99" ht="15" customHeight="1" s="52">
      <c r="A99" s="101" t="inlineStr">
        <is>
          <t>Test 3 (S7)</t>
        </is>
      </c>
      <c r="B99" s="56" t="n"/>
      <c r="C99" s="57" t="n"/>
      <c r="D99" s="85" t="n">
        <v>46359</v>
      </c>
      <c r="E99" s="87" t="inlineStr">
        <is>
          <t>90→45°</t>
        </is>
      </c>
      <c r="F99" s="91" t="n"/>
      <c r="G99" s="91" t="n"/>
      <c r="H99" s="91" t="n"/>
      <c r="I99" s="92">
        <f>IF(OR(F99="",G99=""),"",ROUND(F99*(1+G99/30),1))</f>
        <v/>
      </c>
      <c r="J99" s="92">
        <f>IF(OR(F99="",H99=""),"",ROUND(F99*(1+H99/30),1))</f>
        <v/>
      </c>
      <c r="K99" s="105">
        <f>IF(OR(I99="",J99=""),"",I99/J99)</f>
        <v/>
      </c>
      <c r="L99" s="93">
        <f>IF(K99="","",IF(K99&gt;=0.9,"Sí","No"))</f>
        <v/>
      </c>
      <c r="M99" s="91" t="n"/>
      <c r="N99" s="56" t="n"/>
      <c r="O99" s="56" t="n"/>
      <c r="P99" s="56" t="n"/>
      <c r="Q99" s="57" t="n"/>
    </row>
    <row r="100" ht="15" customHeight="1" s="52">
      <c r="A100" s="101" t="inlineStr">
        <is>
          <t>Opcional (S8)</t>
        </is>
      </c>
      <c r="B100" s="56" t="n"/>
      <c r="C100" s="57" t="n"/>
      <c r="D100" s="85" t="n">
        <v>46366</v>
      </c>
      <c r="E100" s="87" t="inlineStr">
        <is>
          <t>completo</t>
        </is>
      </c>
      <c r="F100" s="91" t="n"/>
      <c r="G100" s="91" t="n"/>
      <c r="H100" s="91" t="n"/>
      <c r="I100" s="92">
        <f>IF(OR(F100="",G100=""),"",ROUND(F100*(1+G100/30),1))</f>
        <v/>
      </c>
      <c r="J100" s="92">
        <f>IF(OR(F100="",H100=""),"",ROUND(F100*(1+H100/30),1))</f>
        <v/>
      </c>
      <c r="K100" s="105">
        <f>IF(OR(I100="",J100=""),"",I100/J100)</f>
        <v/>
      </c>
      <c r="L100" s="93">
        <f>IF(K100="","",IF(K100&gt;=0.9,"Sí","No"))</f>
        <v/>
      </c>
      <c r="M100" s="91" t="n"/>
      <c r="N100" s="56" t="n"/>
      <c r="O100" s="56" t="n"/>
      <c r="P100" s="56" t="n"/>
      <c r="Q100" s="57" t="n"/>
    </row>
    <row r="101" ht="39.75" customHeight="1" s="52">
      <c r="A101" s="73" t="inlineStr">
        <is>
          <t>Fuerza estimada = carga × (1 + reps/30) (fórmula de Epley; pierde precisión por encima de ~10 reps) [LÓGICA]. Misma carga en las dos piernas, D primero, tempo 2-0-2, al fallo técnico o hasta 3/10. Criterio antes del balón: simetría ≥90% [LÓGICA; viene de la vuelta al deporte tras LCA, no validado en dolor femoropatelar: INCERTIDUMBRE]. El test 1 marca la referencia: la comparación entre semanas solo vale con el mismo rango.</t>
        </is>
      </c>
      <c r="B101" s="56" t="n"/>
      <c r="C101" s="56" t="n"/>
      <c r="D101" s="56" t="n"/>
      <c r="E101" s="56" t="n"/>
      <c r="F101" s="56" t="n"/>
      <c r="G101" s="56" t="n"/>
      <c r="H101" s="56" t="n"/>
      <c r="I101" s="56" t="n"/>
      <c r="J101" s="56" t="n"/>
      <c r="K101" s="56" t="n"/>
      <c r="L101" s="56" t="n"/>
      <c r="M101" s="56" t="n"/>
      <c r="N101" s="56" t="n"/>
      <c r="O101" s="56" t="n"/>
      <c r="P101" s="56" t="n"/>
      <c r="Q101" s="57" t="n"/>
    </row>
    <row r="103" ht="19.5" customHeight="1" s="52">
      <c r="A103" s="65" t="inlineStr">
        <is>
          <t>Escalones de profundidad de la D (0 = la que usas ahora · 4 = la de la I)</t>
        </is>
      </c>
      <c r="B103" s="56" t="n"/>
      <c r="C103" s="56" t="n"/>
      <c r="D103" s="56" t="n"/>
      <c r="E103" s="56" t="n"/>
      <c r="F103" s="56" t="n"/>
      <c r="G103" s="56" t="n"/>
      <c r="H103" s="56" t="n"/>
      <c r="I103" s="56" t="n"/>
      <c r="J103" s="56" t="n"/>
      <c r="K103" s="56" t="n"/>
      <c r="L103" s="56" t="n"/>
      <c r="M103" s="56" t="n"/>
      <c r="N103" s="56" t="n"/>
      <c r="O103" s="56" t="n"/>
      <c r="P103" s="56" t="n"/>
      <c r="Q103" s="57" t="n"/>
    </row>
    <row r="104" ht="30" customHeight="1" s="52">
      <c r="A104" s="84" t="inlineStr">
        <is>
          <t>Escalón</t>
        </is>
      </c>
      <c r="B104" s="56" t="n"/>
      <c r="C104" s="57" t="n"/>
      <c r="D104" s="84" t="inlineStr">
        <is>
          <t>Ángulo aprox. de rodilla (opcional)</t>
        </is>
      </c>
      <c r="E104" s="84" t="inlineStr">
        <is>
          <t>Prensa (marca)</t>
        </is>
      </c>
      <c r="F104" s="84" t="inlineStr">
        <is>
          <t>Cajón / pines</t>
        </is>
      </c>
      <c r="G104" s="84" t="inlineStr">
        <is>
          <t>Búlgara (apoyo)</t>
        </is>
      </c>
      <c r="H104" s="57" t="n"/>
      <c r="I104" s="84" t="inlineStr">
        <is>
          <t>Touchdown (plataforma)</t>
        </is>
      </c>
      <c r="J104" s="57" t="n"/>
      <c r="K104" s="84" t="inlineStr">
        <is>
          <t>Validado en</t>
        </is>
      </c>
      <c r="L104" s="57" t="n"/>
      <c r="M104" s="84" t="inlineStr">
        <is>
          <t>Notas</t>
        </is>
      </c>
      <c r="N104" s="56" t="n"/>
      <c r="O104" s="56" t="n"/>
      <c r="P104" s="56" t="n"/>
      <c r="Q104" s="57" t="n"/>
    </row>
    <row r="105" ht="15" customHeight="1" s="52">
      <c r="A105" s="86" t="inlineStr">
        <is>
          <t>0 (actual)</t>
        </is>
      </c>
      <c r="B105" s="56" t="n"/>
      <c r="C105" s="57" t="n"/>
      <c r="D105" s="91" t="n"/>
      <c r="E105" s="91" t="n"/>
      <c r="F105" s="91" t="n"/>
      <c r="G105" s="91" t="n"/>
      <c r="H105" s="57" t="n"/>
      <c r="I105" s="91" t="n"/>
      <c r="J105" s="57" t="n"/>
      <c r="K105" s="91" t="n"/>
      <c r="L105" s="57" t="n"/>
      <c r="M105" s="91" t="n"/>
      <c r="N105" s="56" t="n"/>
      <c r="O105" s="56" t="n"/>
      <c r="P105" s="56" t="n"/>
      <c r="Q105" s="57" t="n"/>
    </row>
    <row r="106" ht="15" customHeight="1" s="52">
      <c r="A106" s="86" t="inlineStr">
        <is>
          <t>1</t>
        </is>
      </c>
      <c r="B106" s="56" t="n"/>
      <c r="C106" s="57" t="n"/>
      <c r="D106" s="91" t="n"/>
      <c r="E106" s="91" t="n"/>
      <c r="F106" s="91" t="n"/>
      <c r="G106" s="91" t="n"/>
      <c r="H106" s="57" t="n"/>
      <c r="I106" s="91" t="n"/>
      <c r="J106" s="57" t="n"/>
      <c r="K106" s="91" t="n"/>
      <c r="L106" s="57" t="n"/>
      <c r="M106" s="91" t="n"/>
      <c r="N106" s="56" t="n"/>
      <c r="O106" s="56" t="n"/>
      <c r="P106" s="56" t="n"/>
      <c r="Q106" s="57" t="n"/>
    </row>
    <row r="107" ht="15" customHeight="1" s="52">
      <c r="A107" s="86" t="inlineStr">
        <is>
          <t>2</t>
        </is>
      </c>
      <c r="B107" s="56" t="n"/>
      <c r="C107" s="57" t="n"/>
      <c r="D107" s="91" t="n"/>
      <c r="E107" s="91" t="n"/>
      <c r="F107" s="91" t="n"/>
      <c r="G107" s="91" t="n"/>
      <c r="H107" s="57" t="n"/>
      <c r="I107" s="91" t="n"/>
      <c r="J107" s="57" t="n"/>
      <c r="K107" s="91" t="n"/>
      <c r="L107" s="57" t="n"/>
      <c r="M107" s="91" t="n"/>
      <c r="N107" s="56" t="n"/>
      <c r="O107" s="56" t="n"/>
      <c r="P107" s="56" t="n"/>
      <c r="Q107" s="57" t="n"/>
    </row>
    <row r="108" ht="15" customHeight="1" s="52">
      <c r="A108" s="86" t="inlineStr">
        <is>
          <t>3</t>
        </is>
      </c>
      <c r="B108" s="56" t="n"/>
      <c r="C108" s="57" t="n"/>
      <c r="D108" s="91" t="n"/>
      <c r="E108" s="91" t="n"/>
      <c r="F108" s="91" t="n"/>
      <c r="G108" s="91" t="n"/>
      <c r="H108" s="57" t="n"/>
      <c r="I108" s="91" t="n"/>
      <c r="J108" s="57" t="n"/>
      <c r="K108" s="91" t="n"/>
      <c r="L108" s="57" t="n"/>
      <c r="M108" s="91" t="n"/>
      <c r="N108" s="56" t="n"/>
      <c r="O108" s="56" t="n"/>
      <c r="P108" s="56" t="n"/>
      <c r="Q108" s="57" t="n"/>
    </row>
    <row r="109" ht="15" customHeight="1" s="52">
      <c r="A109" s="86" t="inlineStr">
        <is>
          <t>4 (= I)</t>
        </is>
      </c>
      <c r="B109" s="56" t="n"/>
      <c r="C109" s="57" t="n"/>
      <c r="D109" s="91" t="n"/>
      <c r="E109" s="91" t="n"/>
      <c r="F109" s="91" t="n"/>
      <c r="G109" s="91" t="n"/>
      <c r="H109" s="57" t="n"/>
      <c r="I109" s="91" t="n"/>
      <c r="J109" s="57" t="n"/>
      <c r="K109" s="91" t="n"/>
      <c r="L109" s="57" t="n"/>
      <c r="M109" s="91" t="n"/>
      <c r="N109" s="56" t="n"/>
      <c r="O109" s="56" t="n"/>
      <c r="P109" s="56" t="n"/>
      <c r="Q109" s="57" t="n"/>
    </row>
    <row r="110" ht="39.75" customHeight="1" s="52">
      <c r="A110" s="73" t="inlineStr">
        <is>
          <t>Reparte la diferencia entre la D y la I en 4 partes iguales (como mucho ~15° cada una; si sale más, se termina después del bloque). El ángulo se puede medir con una app de goniómetro. Se sube solo los lunes de S3, S4, S6 y S7, en la prensa y si esa mañana estás igual o mejor [LÓGICA]. La touchdown del lunes va a la profundidad ya validada (la de la semana anterior) y hace de filtro; el jueves usa la profundidad nueva validada el lunes.</t>
        </is>
      </c>
      <c r="B110" s="56" t="n"/>
      <c r="C110" s="56" t="n"/>
      <c r="D110" s="56" t="n"/>
      <c r="E110" s="56" t="n"/>
      <c r="F110" s="56" t="n"/>
      <c r="G110" s="56" t="n"/>
      <c r="H110" s="56" t="n"/>
      <c r="I110" s="56" t="n"/>
      <c r="J110" s="56" t="n"/>
      <c r="K110" s="56" t="n"/>
      <c r="L110" s="56" t="n"/>
      <c r="M110" s="56" t="n"/>
      <c r="N110" s="56" t="n"/>
      <c r="O110" s="56" t="n"/>
      <c r="P110" s="56" t="n"/>
      <c r="Q110" s="57" t="n"/>
    </row>
  </sheetData>
  <mergeCells count="116">
    <mergeCell ref="A89:C89"/>
    <mergeCell ref="I104:J104"/>
    <mergeCell ref="G71:H71"/>
    <mergeCell ref="K104:L104"/>
    <mergeCell ref="A81:D81"/>
    <mergeCell ref="A105:C105"/>
    <mergeCell ref="I106:J106"/>
    <mergeCell ref="H92:Q92"/>
    <mergeCell ref="M78:Q78"/>
    <mergeCell ref="I76:J76"/>
    <mergeCell ref="K76:L76"/>
    <mergeCell ref="I71:J71"/>
    <mergeCell ref="A91:C91"/>
    <mergeCell ref="B80:D80"/>
    <mergeCell ref="A3:Q3"/>
    <mergeCell ref="M105:Q105"/>
    <mergeCell ref="G108:H108"/>
    <mergeCell ref="A95:Q95"/>
    <mergeCell ref="E82:Q82"/>
    <mergeCell ref="B72:D72"/>
    <mergeCell ref="M76:Q76"/>
    <mergeCell ref="I89:Q89"/>
    <mergeCell ref="G75:H75"/>
    <mergeCell ref="K78:L78"/>
    <mergeCell ref="G77:H77"/>
    <mergeCell ref="I77:J77"/>
    <mergeCell ref="I108:J108"/>
    <mergeCell ref="I80:J80"/>
    <mergeCell ref="B73:D73"/>
    <mergeCell ref="K80:L80"/>
    <mergeCell ref="K79:L79"/>
    <mergeCell ref="A104:C104"/>
    <mergeCell ref="A110:Q110"/>
    <mergeCell ref="I72:J72"/>
    <mergeCell ref="K72:L72"/>
    <mergeCell ref="A97:C97"/>
    <mergeCell ref="A92:G92"/>
    <mergeCell ref="B74:D74"/>
    <mergeCell ref="A106:C106"/>
    <mergeCell ref="M109:Q109"/>
    <mergeCell ref="K106:L106"/>
    <mergeCell ref="I88:Q88"/>
    <mergeCell ref="A96:C96"/>
    <mergeCell ref="M75:Q75"/>
    <mergeCell ref="A84:Q84"/>
    <mergeCell ref="K105:L105"/>
    <mergeCell ref="B76:D76"/>
    <mergeCell ref="M80:Q80"/>
    <mergeCell ref="G104:H104"/>
    <mergeCell ref="A2:Q2"/>
    <mergeCell ref="M104:Q104"/>
    <mergeCell ref="I107:J107"/>
    <mergeCell ref="B75:D75"/>
    <mergeCell ref="K107:L107"/>
    <mergeCell ref="M97:Q97"/>
    <mergeCell ref="M106:Q106"/>
    <mergeCell ref="G76:H76"/>
    <mergeCell ref="M71:Q71"/>
    <mergeCell ref="I74:J74"/>
    <mergeCell ref="K74:L74"/>
    <mergeCell ref="A99:C99"/>
    <mergeCell ref="A108:C108"/>
    <mergeCell ref="M107:Q107"/>
    <mergeCell ref="B78:D78"/>
    <mergeCell ref="A70:Q70"/>
    <mergeCell ref="K109:L109"/>
    <mergeCell ref="A83:D83"/>
    <mergeCell ref="M99:Q99"/>
    <mergeCell ref="M108:Q108"/>
    <mergeCell ref="G78:H78"/>
    <mergeCell ref="M77:Q77"/>
    <mergeCell ref="A101:Q101"/>
    <mergeCell ref="G80:H80"/>
    <mergeCell ref="K71:L71"/>
    <mergeCell ref="G79:H79"/>
    <mergeCell ref="I90:Q90"/>
    <mergeCell ref="G73:H73"/>
    <mergeCell ref="I79:J79"/>
    <mergeCell ref="A98:C98"/>
    <mergeCell ref="I73:J73"/>
    <mergeCell ref="K73:L73"/>
    <mergeCell ref="A107:C107"/>
    <mergeCell ref="A88:C88"/>
    <mergeCell ref="M72:Q72"/>
    <mergeCell ref="G106:H106"/>
    <mergeCell ref="B77:D77"/>
    <mergeCell ref="I91:Q91"/>
    <mergeCell ref="G105:H105"/>
    <mergeCell ref="M96:Q96"/>
    <mergeCell ref="A90:C90"/>
    <mergeCell ref="I105:J105"/>
    <mergeCell ref="K108:L108"/>
    <mergeCell ref="G107:H107"/>
    <mergeCell ref="M98:Q98"/>
    <mergeCell ref="A1:Q1"/>
    <mergeCell ref="A103:Q103"/>
    <mergeCell ref="E81:Q81"/>
    <mergeCell ref="M79:Q79"/>
    <mergeCell ref="M73:Q73"/>
    <mergeCell ref="A87:Q87"/>
    <mergeCell ref="A82:D82"/>
    <mergeCell ref="A100:C100"/>
    <mergeCell ref="I75:J75"/>
    <mergeCell ref="K75:L75"/>
    <mergeCell ref="A109:C109"/>
    <mergeCell ref="G74:H74"/>
    <mergeCell ref="M74:Q74"/>
    <mergeCell ref="K77:L77"/>
    <mergeCell ref="B79:D79"/>
    <mergeCell ref="E83:Q83"/>
    <mergeCell ref="G109:H109"/>
    <mergeCell ref="M100:Q100"/>
    <mergeCell ref="I78:J78"/>
    <mergeCell ref="I109:J109"/>
    <mergeCell ref="B71:D71"/>
    <mergeCell ref="G72:H72"/>
  </mergeCells>
  <conditionalFormatting sqref="L5:L67">
    <cfRule type="expression" rank="0" priority="4" equalAverage="0" aboveAverage="0" dxfId="2" text="" percent="0" bottom="0">
      <formula>L5="Sí"</formula>
    </cfRule>
  </conditionalFormatting>
  <conditionalFormatting sqref="J5:J67">
    <cfRule type="expression" rank="0" priority="5" equalAverage="0" aboveAverage="0" dxfId="2" text="" percent="0" bottom="0">
      <formula>AND($J5&lt;&gt;"",OR($J5&gt;3,AND($E5="Carrera (≤2/10)",$J5&gt;2)))</formula>
    </cfRule>
  </conditionalFormatting>
  <conditionalFormatting sqref="E82">
    <cfRule type="expression" rank="0" priority="6" equalAverage="0" aboveAverage="0" dxfId="2" text="" percent="0" bottom="0">
      <formula>ISNUMBER(SEARCH("PEOR",E82))</formula>
    </cfRule>
    <cfRule type="expression" rank="0" priority="7" equalAverage="0" aboveAverage="0" dxfId="3" text="" percent="0" bottom="0">
      <formula>ISNUMBER(SEARCH("IGUAL",E82))</formula>
    </cfRule>
    <cfRule type="expression" rank="0" priority="8" equalAverage="0" aboveAverage="0" dxfId="3" text="" percent="0" bottom="0">
      <formula>ISNUMBER(SEARCH("Registrado",E82))</formula>
    </cfRule>
    <cfRule type="expression" rank="0" priority="9" equalAverage="0" aboveAverage="0" dxfId="4" text="" percent="0" bottom="0">
      <formula>ISNUMBER(SEARCH("MEJOR",E82))</formula>
    </cfRule>
  </conditionalFormatting>
  <conditionalFormatting sqref="E83">
    <cfRule type="expression" rank="0" priority="10" equalAverage="0" aboveAverage="0" dxfId="2" text="" percent="0" bottom="0">
      <formula>ISNUMBER(SEARCH("PEOR",E83))</formula>
    </cfRule>
    <cfRule type="expression" rank="0" priority="11" equalAverage="0" aboveAverage="0" dxfId="3" text="" percent="0" bottom="0">
      <formula>ISNUMBER(SEARCH("IGUAL",E83))</formula>
    </cfRule>
    <cfRule type="expression" rank="0" priority="12" equalAverage="0" aboveAverage="0" dxfId="3" text="" percent="0" bottom="0">
      <formula>ISNUMBER(SEARCH("Registrado",E83))</formula>
    </cfRule>
    <cfRule type="expression" rank="0" priority="13" equalAverage="0" aboveAverage="0" dxfId="4" text="" percent="0" bottom="0">
      <formula>ISNUMBER(SEARCH("MEJOR",E83))</formula>
    </cfRule>
  </conditionalFormatting>
  <conditionalFormatting sqref="H92">
    <cfRule type="expression" rank="0" priority="14" equalAverage="0" aboveAverage="0" dxfId="4" text="" percent="0" bottom="0">
      <formula>LEFT(H92,3)="SÍ:"</formula>
    </cfRule>
    <cfRule type="expression" rank="0" priority="15" equalAverage="0" aboveAverage="0" dxfId="2" text="" percent="0" bottom="0">
      <formula>LEFT(H92,3)="NO:"</formula>
    </cfRule>
  </conditionalFormatting>
  <conditionalFormatting sqref="L97">
    <cfRule type="expression" rank="0" priority="16" equalAverage="0" aboveAverage="0" dxfId="2" text="" percent="0" bottom="0">
      <formula>L97="No"</formula>
    </cfRule>
    <cfRule type="expression" rank="0" priority="17" equalAverage="0" aboveAverage="0" dxfId="4" text="" percent="0" bottom="0">
      <formula>L97="Sí"</formula>
    </cfRule>
  </conditionalFormatting>
  <conditionalFormatting sqref="L98">
    <cfRule type="expression" rank="0" priority="18" equalAverage="0" aboveAverage="0" dxfId="2" text="" percent="0" bottom="0">
      <formula>L98="No"</formula>
    </cfRule>
    <cfRule type="expression" rank="0" priority="19" equalAverage="0" aboveAverage="0" dxfId="4" text="" percent="0" bottom="0">
      <formula>L98="Sí"</formula>
    </cfRule>
  </conditionalFormatting>
  <conditionalFormatting sqref="L99">
    <cfRule type="expression" rank="0" priority="20" equalAverage="0" aboveAverage="0" dxfId="2" text="" percent="0" bottom="0">
      <formula>L99="No"</formula>
    </cfRule>
    <cfRule type="expression" rank="0" priority="21" equalAverage="0" aboveAverage="0" dxfId="4" text="" percent="0" bottom="0">
      <formula>L99="Sí"</formula>
    </cfRule>
  </conditionalFormatting>
  <conditionalFormatting sqref="L100">
    <cfRule type="expression" rank="0" priority="22" equalAverage="0" aboveAverage="0" dxfId="2" text="" percent="0" bottom="0">
      <formula>L100="No"</formula>
    </cfRule>
    <cfRule type="expression" rank="0" priority="23" equalAverage="0" aboveAverage="0" dxfId="4" text="" percent="0" bottom="0">
      <formula>L100="Sí"</formula>
    </cfRule>
  </conditionalFormatting>
  <conditionalFormatting sqref="P5:P67">
    <cfRule type="expression" priority="23" dxfId="0">
      <formula>P5="Retroceder"</formula>
    </cfRule>
    <cfRule type="expression" priority="24" dxfId="3">
      <formula>P5="Mantener"</formula>
    </cfRule>
    <cfRule type="expression" priority="25" dxfId="1">
      <formula>P5="Avanzar"</formula>
    </cfRule>
  </conditionalFormatting>
  <conditionalFormatting sqref="E81">
    <cfRule type="expression" priority="26" dxfId="2">
      <formula>ISNUMBER(SEARCH("REPITE",E81))</formula>
    </cfRule>
    <cfRule type="expression" priority="27" dxfId="4">
      <formula>ISNUMBER(SEARCH("estable",E81))</formula>
    </cfRule>
  </conditionalFormatting>
  <dataValidations count="3">
    <dataValidation sqref="G5:H67 J5:J67" showDropDown="0" showInputMessage="0" showErrorMessage="0" allowBlank="1" errorTitle="Escala 0-10" error="Pon un número entero de 0 a 10." type="whole" errorStyle="stop" operator="between">
      <formula1>0</formula1>
      <formula2>10</formula2>
    </dataValidation>
    <dataValidation sqref="K5:L67" showDropDown="0" showInputMessage="0" showErrorMessage="0" allowBlank="1" type="list" errorStyle="stop" operator="between">
      <formula1>"Sí,No"</formula1>
      <formula2>0</formula2>
    </dataValidation>
    <dataValidation sqref="D89:D91 E89" showDropDown="0" showInputMessage="0" showErrorMessage="0" allowBlank="1" type="list">
      <formula1>"Sí,No"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2026-10-17T17:17:56Z</dcterms:created>
  <dcterms:modified xmlns:dcterms="http://purl.org/dc/terms/" xmlns:xsi="http://www.w3.org/2001/XMLSchema-instance" xsi:type="dcterms:W3CDTF">2026-10-26T18:00:19Z</dcterms:modified>
  <cp:revision>0</cp:revision>
</cp:coreProperties>
</file>