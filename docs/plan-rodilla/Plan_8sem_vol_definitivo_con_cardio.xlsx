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sumen" sheetId="1" state="visible" r:id="rId3"/>
    <sheet name="Bloque A (20jul-2ago)" sheetId="2" state="visible" r:id="rId4"/>
    <sheet name="Bloque B (3-16ago)" sheetId="3" state="visible" r:id="rId5"/>
    <sheet name="Volumen (1910-1112)" sheetId="4" state="visible" r:id="rId6"/>
    <sheet name="Seguimiento rodill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<sst xmlns="http://schemas.openxmlformats.org/spreadsheetml/2006/main" count="1440" uniqueCount="442">
  <si>
    <t xml:space="preserve">PLAN 4 SEMANAS · 20 jul – 16 ago 2026</t>
  </si>
  <si>
    <t xml:space="preserve">Torso ya cebado (2 sem al fallo) → arranca en MAV1. Pierna 2 sem solo isométricos → reentra en MEV. Rehab FIJA.</t>
  </si>
  <si>
    <t xml:space="preserve">CÓMO ESTÁ PENSADO</t>
  </si>
  <si>
    <t xml:space="preserve">Punto de partida</t>
  </si>
  <si>
    <t xml:space="preserve">2 sem a volumen bajo + fallo/parciales/clusters en todo el torso (pecho, espalda, tríceps, lateral, posterior, bíceps). No estás desentrenado: estás cebado, con algo de fatiga acumulada. Pierna en cambio solo isométricos.</t>
  </si>
  <si>
    <t xml:space="preserve">Bloque A (20 jul–2 ago)</t>
  </si>
  <si>
    <t xml:space="preserve">5–6 días. TORSO: Sem 1 = MAV1 a 2 RIR (nos saltamos el MEV de reentrada), Sem 2 = MAV2 a 1 RIR. PIERNA: Sem 1 = MEV, Sem 2 = MAV1. Techo en MAV2: nada de MRV antes de la fiesta.</t>
  </si>
  <si>
    <t xml:space="preserve">Por qué 2 RIR en Sem 1</t>
  </si>
  <si>
    <t xml:space="preserve">Vienes de 2 sem enteras al fallo → subir volumen a MAV1 y seguir al fallo a la vez es picar volumen e intensidad juntos. Volumen arriba, intensidad un punto abajo; en Sem 2 ya aprietas a 1 RIR.</t>
  </si>
  <si>
    <t xml:space="preserve">Bloque B (3–16 ago)</t>
  </si>
  <si>
    <t xml:space="preserve">Beber fuerte + ~6 h sueño = sin recuperación real. MANTENIMIENTO: ~mitad de volumen, 3 días cortos, 2–3 RIR, sin fallo, sin progresar. Objetivo: no perder.</t>
  </si>
  <si>
    <t xml:space="preserve">Rodilla (rehab)</t>
  </si>
  <si>
    <t xml:space="preserve">FIJA las 4 semanas. El tendón quiere carga frecuente; descansar es contraproducente en tendinopatía. En fiesta: mantener rehab + isométricos, vigilar semáforo ≤3/10 y regla 24 h (alcohol/deshidratación empeoran el tendón).</t>
  </si>
  <si>
    <t xml:space="preserve">VOLUMEN OBJETIVO (series efectivas / músculo / semana)</t>
  </si>
  <si>
    <t xml:space="preserve">Músculo</t>
  </si>
  <si>
    <t xml:space="preserve">Sem 1
(MAV1 torso · 2 RIR)</t>
  </si>
  <si>
    <t xml:space="preserve">Sem 2
(MAV2 torso · 1 RIR)</t>
  </si>
  <si>
    <t xml:space="preserve">Sem 3–4
(mantenim. · 2–3 RIR)</t>
  </si>
  <si>
    <t xml:space="preserve">Nota</t>
  </si>
  <si>
    <t xml:space="preserve">Espalda + posterior</t>
  </si>
  <si>
    <t xml:space="preserve">11</t>
  </si>
  <si>
    <t xml:space="preserve">12</t>
  </si>
  <si>
    <t xml:space="preserve">3–4</t>
  </si>
  <si>
    <t xml:space="preserve">Pecho</t>
  </si>
  <si>
    <t xml:space="preserve">7</t>
  </si>
  <si>
    <t xml:space="preserve">8</t>
  </si>
  <si>
    <t xml:space="preserve">3</t>
  </si>
  <si>
    <t xml:space="preserve">Hombro lateral</t>
  </si>
  <si>
    <t xml:space="preserve">Bíceps</t>
  </si>
  <si>
    <t xml:space="preserve">2</t>
  </si>
  <si>
    <t xml:space="preserve">Tríceps</t>
  </si>
  <si>
    <t xml:space="preserve">+ el del press</t>
  </si>
  <si>
    <t xml:space="preserve">Abs</t>
  </si>
  <si>
    <t xml:space="preserve">6</t>
  </si>
  <si>
    <t xml:space="preserve">Isquios (accesorio)</t>
  </si>
  <si>
    <t xml:space="preserve">4  (MEV)</t>
  </si>
  <si>
    <t xml:space="preserve">6  (MAV1)</t>
  </si>
  <si>
    <t xml:space="preserve">rehab suma el resto</t>
  </si>
  <si>
    <t xml:space="preserve">Aductores</t>
  </si>
  <si>
    <t xml:space="preserve">1</t>
  </si>
  <si>
    <t xml:space="preserve">0–1</t>
  </si>
  <si>
    <t xml:space="preserve">Gemelos</t>
  </si>
  <si>
    <t xml:space="preserve">4</t>
  </si>
  <si>
    <t xml:space="preserve">FIJO</t>
  </si>
  <si>
    <t xml:space="preserve">no se toca</t>
  </si>
  <si>
    <t xml:space="preserve">BLOQUE A · 20 jul – 2 ago · ACUMULACIÓN (5–6 días)</t>
  </si>
  <si>
    <t xml:space="preserve">Torso arranca en MAV1 (ya cebado). Verde = rehab (FIJO). Sem 1 → 2 RIR · Sem 2 → 1 RIR (última de aislamiento al fallo opcional).</t>
  </si>
  <si>
    <t xml:space="preserve">(L) Lunes  ·  Rehab + Isquios + Hombro</t>
  </si>
  <si>
    <t xml:space="preserve">Ejercicio</t>
  </si>
  <si>
    <t xml:space="preserve">Objetivo</t>
  </si>
  <si>
    <t xml:space="preserve">Sem 1 (series@RIR)</t>
  </si>
  <si>
    <t xml:space="preserve">Sem 2 (series@RIR)</t>
  </si>
  <si>
    <t xml:space="preserve">Notas</t>
  </si>
  <si>
    <t xml:space="preserve">Laterales de pie</t>
  </si>
  <si>
    <t xml:space="preserve">Hombro lat.</t>
  </si>
  <si>
    <t xml:space="preserve">2 @ RIR2</t>
  </si>
  <si>
    <t xml:space="preserve">2 @ RIR1</t>
  </si>
  <si>
    <t xml:space="preserve">Laterales banco inclinado posterior</t>
  </si>
  <si>
    <t xml:space="preserve">Posterior</t>
  </si>
  <si>
    <t xml:space="preserve">1 @ RIR2</t>
  </si>
  <si>
    <t xml:space="preserve">Unilateral Abduction</t>
  </si>
  <si>
    <t xml:space="preserve">Rehab</t>
  </si>
  <si>
    <t xml:space="preserve">2 x15–20</t>
  </si>
  <si>
    <t xml:space="preserve">fijo</t>
  </si>
  <si>
    <t xml:space="preserve">Touchdown squat</t>
  </si>
  <si>
    <t xml:space="preserve">Unilateral Bridge iso</t>
  </si>
  <si>
    <t xml:space="preserve">2 (20 s)</t>
  </si>
  <si>
    <t xml:space="preserve">Zercher squat</t>
  </si>
  <si>
    <t xml:space="preserve">3 x12</t>
  </si>
  <si>
    <t xml:space="preserve">tempo controlado</t>
  </si>
  <si>
    <t xml:space="preserve">Bulgarian split squat</t>
  </si>
  <si>
    <t xml:space="preserve">2 x12</t>
  </si>
  <si>
    <t xml:space="preserve">Isquios</t>
  </si>
  <si>
    <t xml:space="preserve">Isquios (MEV→MAV1)</t>
  </si>
  <si>
    <t xml:space="preserve">3 @ RIR1</t>
  </si>
  <si>
    <t xml:space="preserve">(M) Martes  ·  Push</t>
  </si>
  <si>
    <t xml:space="preserve">Press inclinado manc</t>
  </si>
  <si>
    <t xml:space="preserve">3 @ RIR2</t>
  </si>
  <si>
    <t xml:space="preserve">4 @ RIR1</t>
  </si>
  <si>
    <t xml:space="preserve">Aperturas pecho manc + gomas</t>
  </si>
  <si>
    <t xml:space="preserve">Kaz press manc</t>
  </si>
  <si>
    <t xml:space="preserve">Pecho/hombro</t>
  </si>
  <si>
    <t xml:space="preserve">1 @ RIR1</t>
  </si>
  <si>
    <t xml:space="preserve">Extensión tríceps unil</t>
  </si>
  <si>
    <t xml:space="preserve">(X) Miércoles  ·  Pull</t>
  </si>
  <si>
    <t xml:space="preserve">Dominadas neutro</t>
  </si>
  <si>
    <t xml:space="preserve">Espalda</t>
  </si>
  <si>
    <t xml:space="preserve">Remo apoyado</t>
  </si>
  <si>
    <t xml:space="preserve">Pullover manc + gomas</t>
  </si>
  <si>
    <t xml:space="preserve">Dorsal</t>
  </si>
  <si>
    <t xml:space="preserve">Dominadas abducción hombro</t>
  </si>
  <si>
    <t xml:space="preserve">Espalda/post.</t>
  </si>
  <si>
    <t xml:space="preserve">Laterales sentado inclinado</t>
  </si>
  <si>
    <t xml:space="preserve">Arnold laterales</t>
  </si>
  <si>
    <t xml:space="preserve">Hombro</t>
  </si>
  <si>
    <t xml:space="preserve">Curl biceps</t>
  </si>
  <si>
    <t xml:space="preserve">(J) Jueves  ·  Rehab + Isquios + Aductores</t>
  </si>
  <si>
    <t xml:space="preserve">Aductores (MEV→MAV1)</t>
  </si>
  <si>
    <t xml:space="preserve">(V) Viernes  ·  Torso (upper completo)</t>
  </si>
  <si>
    <t xml:space="preserve">Dominadas neutras dorsal</t>
  </si>
  <si>
    <t xml:space="preserve">Press incl manc cerrado</t>
  </si>
  <si>
    <t xml:space="preserve">Pecho/tríceps</t>
  </si>
  <si>
    <t xml:space="preserve">Laterales inclinado estiramiento</t>
  </si>
  <si>
    <t xml:space="preserve">Triceps tras nuca</t>
  </si>
  <si>
    <t xml:space="preserve">Triceps conc</t>
  </si>
  <si>
    <t xml:space="preserve">1 @ RIR0</t>
  </si>
  <si>
    <t xml:space="preserve">última al fallo ok</t>
  </si>
  <si>
    <t xml:space="preserve">Curl biceps incl</t>
  </si>
  <si>
    <t xml:space="preserve">Curl martillo scott</t>
  </si>
  <si>
    <t xml:space="preserve">Bíceps/braquial</t>
  </si>
  <si>
    <t xml:space="preserve">(S) Sábado  ·  Rehab ligero + movilidad  (hazlo antes de salir el 25/07 y 01/08)</t>
  </si>
  <si>
    <t xml:space="preserve">Movilidad</t>
  </si>
  <si>
    <t xml:space="preserve">-</t>
  </si>
  <si>
    <t xml:space="preserve">(D) Domingo = descanso total. Hidrátate y prioriza proteína/sueño tras la fiesta.</t>
  </si>
  <si>
    <t xml:space="preserve">BLOQUE B · 3 – 16 ago · MANTENIMIENTO (fiesta 4–5 noches)</t>
  </si>
  <si>
    <t xml:space="preserve">Igual las 2 semanas. 3 días cortos. TODO a 2–3 RIR, SIN fallo. No progresar: solo mantener.</t>
  </si>
  <si>
    <t xml:space="preserve">Día 1  ·  Rehab + Push mínimo</t>
  </si>
  <si>
    <t xml:space="preserve">Series@RIR</t>
  </si>
  <si>
    <t xml:space="preserve">Laterales</t>
  </si>
  <si>
    <t xml:space="preserve">Día 2  ·  Rehab + Pull mínimo</t>
  </si>
  <si>
    <t xml:space="preserve">Día 3  ·  Rehab ligero + full mínimo</t>
  </si>
  <si>
    <t xml:space="preserve">Coloca los 3 días en tus jornadas MENOS resacosas. Entrena ANTES de beber, nunca la mañana de después. Si un día es inviable: solo rehab/isométricos.</t>
  </si>
  <si>
    <t xml:space="preserve">REGLAS RODILLA (todo el bloque)</t>
  </si>
  <si>
    <t xml:space="preserve">•  Semáforo: hasta 3/10 durante/justo después es aceptable.</t>
  </si>
  <si>
    <t xml:space="preserve">•  Regla 24 h: si al día siguiente el dolor sube y no baja, no progreses esa carga.</t>
  </si>
  <si>
    <t xml:space="preserve">•  Alcohol y deshidratación pueden empeorar el tendón: extrema hidratación.</t>
  </si>
  <si>
    <t xml:space="preserve">•  Tras el 16/08: retoma tu mesociclo normal reentrando en MEV.</t>
  </si>
  <si>
    <t xml:space="preserve">Volumen · 19/10 – 13/12 · 8 semanas (sem 9 = viaje/descarga)</t>
  </si>
  <si>
    <t xml:space="preserve">RIR1/0 = todas las series a RIR1 y la ÚLTIMA a RIR0 (si solo hay 1 serie, RIR0).  REHAB RODILLA S2-S8 en 2 días: lunes (touchdown + prensa) y jueves (sentadilla + búlgara), pesado y lento, tempo 3-1-3; D a RIR 2 y en su escalón de profundidad, I a RIR 1-2 y rango completo. Reps: ×12 S1 → ×10 S2-4 → ×8 S5-8 → ×6 tras el viaje. Una novedad por día (lunes profundidad/reps · miércoles carrera), solo si esa mañana estás igual o mejor. Reglas al final de la hoja; registro diario en «Seguimiento rodilla».</t>
  </si>
  <si>
    <t xml:space="preserve">(L) Lunes  ·  Rehab + Isquios + Hombro + Gemelo</t>
  </si>
  <si>
    <t xml:space="preserve">Sem 3 (series@RIR)</t>
  </si>
  <si>
    <t xml:space="preserve">Sem 4 (series@RIR)</t>
  </si>
  <si>
    <t xml:space="preserve">Sem 5 (series@RIR)</t>
  </si>
  <si>
    <t xml:space="preserve">Sem 6 (series@RIR)</t>
  </si>
  <si>
    <t xml:space="preserve">Sem 7 (series@RIR)</t>
  </si>
  <si>
    <t xml:space="preserve">Sem 8 (series@RIR)</t>
  </si>
  <si>
    <t xml:space="preserve">Elev laterales polea</t>
  </si>
  <si>
    <t xml:space="preserve">2 @ RIR1/0</t>
  </si>
  <si>
    <t xml:space="preserve">3 @ RIR1/0</t>
  </si>
  <si>
    <t xml:space="preserve">Prioridad 1 · Polea altura muñeca/muslo en plano escapular (~30° adelante). Intercalar en superserie alterna con la abducción (máquina) para dar 3-4 min de descanso al deltoides antes de las mancuernas.</t>
  </si>
  <si>
    <t xml:space="preserve">Abducción de pie unilateral (máquina)</t>
  </si>
  <si>
    <t xml:space="preserve">Rehab (cadera)</t>
  </si>
  <si>
    <t xml:space="preserve">3 x10-15
@RIR1-2</t>
  </si>
  <si>
    <t xml:space="preserve">Cadera: de pie, unilateral, en máquina; empieza por la D y sube carga cuando llegues a 15 con RIR 1-2. Cadera + rodilla combinadas = primera línea en los consensos de 2016 y 2018 [EVIDENCIA]. No cuenta como novedad: apenas carga la rodilla [LÓGICA]. Antes del rehab: sentadilla española 2-3×45 s.</t>
  </si>
  <si>
    <t xml:space="preserve">Elev laterales mancuerna</t>
  </si>
  <si>
    <t xml:space="preserve">Prioridad 1 · Hacer tras el 1er bloque de la abducción (máquina) · Perfil en acortamiento, controlar bajada sin rebotar.</t>
  </si>
  <si>
    <t xml:space="preserve">2 x10-15
/pierna</t>
  </si>
  <si>
    <t xml:space="preserve">2 x10-15
repite S7</t>
  </si>
  <si>
    <t xml:space="preserve">Control antes de la prensa. D a la profundidad YA validada (la de la semana anterior), I completa; tempo 2-0-2, RIR 3; pelvis nivelada y rodilla hacia el 2.º-4.º dedo. Hace de filtro: si la D pasa de 3/10 aquí, ese lunes no se sube escalón en la prensa [LÓGICA].</t>
  </si>
  <si>
    <t xml:space="preserve">Prensa unil · pesado y lento n.º 1</t>
  </si>
  <si>
    <t xml:space="preserve">2 x10
nov: x10</t>
  </si>
  <si>
    <t xml:space="preserve">2 x10
nov: +1 escalón</t>
  </si>
  <si>
    <t xml:space="preserve">2 x8
nov: x8</t>
  </si>
  <si>
    <t xml:space="preserve">2 x8
nov: +1 escalón</t>
  </si>
  <si>
    <t xml:space="preserve">2 x8
repite S7</t>
  </si>
  <si>
    <t xml:space="preserve">Pesado y lento para el tendón [EVIDENCIA: Kongsgaard 2009; 1-2 veces/semana para mantenerlo: LÓGICA]. Tempo 3-1-3. D primero: RIR 2 y profundidad de su escalón. I: RIR 1-2, rango completo y mismas reps. Lunes = día de novedad (escalón o reps): solo si esa mañana estás igual o mejor y la touchdown no pasa de 3/10; si no, repite la semana anterior. En la sesión con novedad no cambies nada más (con escalón nuevo, mismo peso).</t>
  </si>
  <si>
    <t xml:space="preserve">Gemelos prensa</t>
  </si>
  <si>
    <t xml:space="preserve">4 @ RIR1/0</t>
  </si>
  <si>
    <t xml:space="preserve">5 @ RIR1/0</t>
  </si>
  <si>
    <t xml:space="preserve">Prensa con pies abajo · Pausa estricta de 2 s en máximo estiramiento abajo (sin rebotar en el tendón de Aquiles) + rodilla semirrígida.</t>
  </si>
  <si>
    <t xml:space="preserve">Hiperextensiones</t>
  </si>
  <si>
    <t xml:space="preserve">Extensión de cadera · Rodillas con ligera flexión fija (~10-15°), subir empujando talones sin hiperextender zona lumbar.</t>
  </si>
  <si>
    <t xml:space="preserve">Press inclinado barra (30–40°)</t>
  </si>
  <si>
    <t xml:space="preserve">Prioridad 4 (Haz clavicular) · Agarre ~1.3x ancho hombros y codos a 45–60° (plano escapular) para proteger hombro y codo.</t>
  </si>
  <si>
    <t xml:space="preserve">Extensión tríceps unil polea</t>
  </si>
  <si>
    <t xml:space="preserve">Prioridad 2 (Tríceps) · Hombro a 0° pegado al costado (máxima palanca de cabeza larga sin estrés articular en codo).</t>
  </si>
  <si>
    <t xml:space="preserve">Contractora (Pec Deck)</t>
  </si>
  <si>
    <t xml:space="preserve">Prioridad 4 (Haz clavicular/esternal) · Asiento medio-bajo (manos altura clavícula/esternón sup.) · NO hiperextender húmeros detrás del torso al abrir para no irritar cápsula anterior del hombro.</t>
  </si>
  <si>
    <t xml:space="preserve">Triceps tras nuca unil polea</t>
  </si>
  <si>
    <t xml:space="preserve">Prioridad 2 (Tríceps en estiramiento) · Dejar que el codo apunte ligeramente hacia fuera (~20-30° plano escapular) para no forzar cápsula del hombro ni tendón olecraniano.</t>
  </si>
  <si>
    <t xml:space="preserve">Abs colgado (retroversión)</t>
  </si>
  <si>
    <t xml:space="preserve">Colgado con depresión escapular (activa dorsal) · Enrollar pelvis hacia costillas (retroversión). Usar straps si el agarre molesta al codo.</t>
  </si>
  <si>
    <t xml:space="preserve">(X) Miércoles  ·  Pull  ·  + carrera (ver bloque de carrera)</t>
  </si>
  <si>
    <t xml:space="preserve">Jalón ancho plano frontal</t>
  </si>
  <si>
    <t xml:space="preserve">Prioridad 3 (Dorsal Bajo) · 1º fresco · Torso vertical, codos abiertos en plano frontal hasta ~90° · No encoger hombros.</t>
  </si>
  <si>
    <t xml:space="preserve">Remo gironda abierto</t>
  </si>
  <si>
    <t xml:space="preserve">Plano transversal (Espalda Alta) · Codos abiertos y retracción escapular completa.</t>
  </si>
  <si>
    <t xml:space="preserve">Laterales sentado</t>
  </si>
  <si>
    <t xml:space="preserve">Prioridad 1 (Hombro Lat.) · Sentado en banco a 75–80°, abducir en plano escapular (~30° adelante) sin rotar internamente el hombro.</t>
  </si>
  <si>
    <t xml:space="preserve">Jalón neutro</t>
  </si>
  <si>
    <t xml:space="preserve">Plano sagital (Dorsal Sup.) · Agarre neutro ancho hombros, llevar codos a los bolsillos cortando a 90° (protege codo/bíceps).</t>
  </si>
  <si>
    <t xml:space="preserve">Curl martillo scott </t>
  </si>
  <si>
    <t xml:space="preserve">Prioridad 2 (Bíceps/Braquiorradial) · Agarre neutro (muy amigable para el codo). Bajar en 2-3 s y parar a ~15° de la extensión total para no sobrecargar tendón distal.</t>
  </si>
  <si>
    <t xml:space="preserve">Posterior polea</t>
  </si>
  <si>
    <t xml:space="preserve">Hombro post.</t>
  </si>
  <si>
    <t xml:space="preserve">Salud Hombro / Transversal · Clave para centrar cabeza humeral y compensar presses.</t>
  </si>
  <si>
    <t xml:space="preserve">Curl bayesian</t>
  </si>
  <si>
    <t xml:space="preserve">Prioridad 2 (Bíceps en estiramiento) · Hombro en extensión detrás del torso; no dejar que el hombro rote hacia delante al subir.</t>
  </si>
  <si>
    <t xml:space="preserve">(J) Jueves  ·  Rehab + Isquios + Aductores  ·  test de fuerza S2 / S5 / S7</t>
  </si>
  <si>
    <t xml:space="preserve">TEST fuerza · extensión unilateral en máquina 90→45°</t>
  </si>
  <si>
    <t xml:space="preserve">Test</t>
  </si>
  <si>
    <t xml:space="preserve">—</t>
  </si>
  <si>
    <t xml:space="preserve">2 aprox. +
1 al fallo
por pierna</t>
  </si>
  <si>
    <t xml:space="preserve">Opcional:
rango completo</t>
  </si>
  <si>
    <t xml:space="preserve">Al empezar la sesión, tras la española 2-3×45 s y 2 series de aproximación. Mismo asiento y SIEMPRE rango fijo 90→45° (si el rango cambia, la comparación entre semanas no vale). Misma carga en las dos piernas (la que la I haga unas 10-15 reps), tempo 2-0-2, D primero, 3 min de descanso y luego la I; para si pasa de 3/10. Apunta carga y reps en «Seguimiento rodilla», que calcula la simetría. Objetivo ≥90% antes del balón [LÓGICA; el 90% viene de la vuelta al deporte tras LCA, no está validado en dolor femoropatelar: INCERTIDUMBRE]. Test en rango completo opcional en S8 y no en S7, para que sea la única novedad de su semana.</t>
  </si>
  <si>
    <t xml:space="preserve">Sentadilla al cajón o desde pines · pesado y lento n.º 2</t>
  </si>
  <si>
    <t xml:space="preserve">3 x10</t>
  </si>
  <si>
    <t xml:space="preserve">3 x10
prof. del lunes</t>
  </si>
  <si>
    <t xml:space="preserve">3 x8</t>
  </si>
  <si>
    <t xml:space="preserve">3 x8
prof. del lunes</t>
  </si>
  <si>
    <t xml:space="preserve">3 x8
repite S7</t>
  </si>
  <si>
    <t xml:space="preserve">Tras el test (S2/S5/S7), carga por RIR. Tempo 3-1-3, RIR 2. Profundidad = la validada el lunes en la prensa. Postura habitual: un chasquido sin dolor no cambia nada; el apoyo ancho solo si te reduce el DOLOR [LÓGICA]. Antes del rehab (si no hay test): sentadilla española 2-3×45 s.</t>
  </si>
  <si>
    <t xml:space="preserve">2 x10</t>
  </si>
  <si>
    <t xml:space="preserve">2 x8</t>
  </si>
  <si>
    <t xml:space="preserve">D primero: RIR 2 y profundidad validada el lunes. I: RIR 1-2 y rango completo. Tempo 3-1-3. Alterna piernas, 60-90 s entre una y otra.</t>
  </si>
  <si>
    <t xml:space="preserve">Misma máquina que el lunes; empieza por la D. Va DESPUÉS de la búlgara, para no fatigar el glúteo medio antes del trabajo a una pierna [LÓGICA]. Lunes + jueves = 72-96 h entre sesiones de cadera.</t>
  </si>
  <si>
    <t xml:space="preserve">Sale del jueves desde S2: va el lunes, antes de la prensa [LÓGICA].</t>
  </si>
  <si>
    <t xml:space="preserve">Isquios sentado</t>
  </si>
  <si>
    <t xml:space="preserve">Isquios en estiramiento máximo (cadera a 90°) · Controlar fase excéntrica.</t>
  </si>
  <si>
    <t xml:space="preserve">Plano transversal/frontal · Pausa de 1 s en apertura máxima sin dolor inguinal/rodilla.</t>
  </si>
  <si>
    <t xml:space="preserve">Prensa con pies abajo · Pausa estricta de 2 s en máximo estiramiento abajo (sin rebote elástico).</t>
  </si>
  <si>
    <t xml:space="preserve">(V) Viernes  ·  Torso</t>
  </si>
  <si>
    <t xml:space="preserve">Triceps conc polea (-15°)</t>
  </si>
  <si>
    <t xml:space="preserve">Prioridad 2 + Potenciación de codo · Hombro a -15° (extensión): máximo acortamiento de cabeza larga con torque nulo en flexión máxima de codo (calienta tendón para el francés).</t>
  </si>
  <si>
    <t xml:space="preserve">Laterales polea</t>
  </si>
  <si>
    <t xml:space="preserve">Prioridad 1 (Hombro Lat.) · Polea a altura de muñeca/muslo, abducción en plano escapular.</t>
  </si>
  <si>
    <t xml:space="preserve">Press francés manc (banco plano)</t>
  </si>
  <si>
    <t xml:space="preserve">Prioridad 2 (Tríceps) · Agarre neutro (martillo) y brazos inclinados a ~100° hacia la cabeza: quita cizalla en epitróclea/olécranon y mantiene tensión constante.</t>
  </si>
  <si>
    <t xml:space="preserve">Curl biceps barra z</t>
  </si>
  <si>
    <t xml:space="preserve">Prioridad 2 (Bíceps rango medio) · Usar el agarre de la barra Z (ancho o estrecho) que resulte 100% libre de molestia en muñeca y codo.</t>
  </si>
  <si>
    <t xml:space="preserve">Press máquina neutro ascendente</t>
  </si>
  <si>
    <t xml:space="preserve">Prioridad 4 (Haz clavicular) · 10/10 tras brazos: el agarre neutro y la trayectoria convergente ascendente aíslan el haz clavicular sin estrés en hombro ni codo.</t>
  </si>
  <si>
    <t xml:space="preserve">Dominada neutra dorsal</t>
  </si>
  <si>
    <t xml:space="preserve">Plano sagital (Dorsal Sup.) · Usar STRAPS obligatoriamente para anular fatiga previa de bíceps y proteger codos.</t>
  </si>
  <si>
    <t xml:space="preserve">Remo máquina (pecho apoyado 30°)</t>
  </si>
  <si>
    <t xml:space="preserve">Plano sagital/híbrido (Dorsal Sup.) · Usar STRAPS, codos a ~30° hasta línea del torso.</t>
  </si>
  <si>
    <t xml:space="preserve">Aducción unil. polea alta (Pull-in)</t>
  </si>
  <si>
    <t xml:space="preserve">Prioridad 3 (Dorsal Bajo) · De lado a la polea (con tobillera en muñeca o codo semirrígido) para aislar haz inferior sin usar bíceps ni codo · Sem 1-2 a RIR 1-2.</t>
  </si>
  <si>
    <t xml:space="preserve">(S) Sábado  ·  casa, sin máquinas ni poleas  ·  sin pierna (el domingo: carrera)</t>
  </si>
  <si>
    <t xml:space="preserve">Abducción unilateral</t>
  </si>
  <si>
    <t xml:space="preserve">Sale del sábado desde S2: la abducción va el lunes y el jueves en máquina; la pierna se concentra en 2 días [LÓGICA].</t>
  </si>
  <si>
    <t xml:space="preserve">Sale del sábado desde S2: va el lunes, antes de la prensa [LÓGICA].</t>
  </si>
  <si>
    <t xml:space="preserve">Sale del sábado desde S2: la pierna se concentra en el lunes y el jueves [LÓGICA].</t>
  </si>
  <si>
    <t xml:space="preserve">Abs wesley banco</t>
  </si>
  <si>
    <t xml:space="preserve">Elevación lateral en prono «T» (mancuernas, banco)</t>
  </si>
  <si>
    <t xml:space="preserve">Hombro (correctivo)</t>
  </si>
  <si>
    <t xml:space="preserve">2-3 x10-15
5 s arriba</t>
  </si>
  <si>
    <t xml:space="preserve">Postura: trapecio medio e inferior y deltoides posterior. Boca abajo en el banco, pulgar arriba, muy poco peso. RIR 3-4; no cuenta como serie de hipertrofia. Libro, p. 290.</t>
  </si>
  <si>
    <t xml:space="preserve">Rotación externa con banda «W»</t>
  </si>
  <si>
    <t xml:space="preserve">2-3 x15-20
5-10 s fuera</t>
  </si>
  <si>
    <t xml:space="preserve">Codos pegados al cuerpo a 90°. RIR 3-4. Libro, p. 288.</t>
  </si>
  <si>
    <t xml:space="preserve">Curl de muñeca en extensión (mancuerna)</t>
  </si>
  <si>
    <t xml:space="preserve">Codo (correctivo)</t>
  </si>
  <si>
    <t xml:space="preserve">3 x10-15
3 s / 3 s</t>
  </si>
  <si>
    <t xml:space="preserve">Codo (cara externa). Antebrazo apoyado, palma abajo. Si ahora agarrar te duele: isométrico 4-5×30-45 s las 1-2 primeras semanas. Antes, test del nervio radial (libro, p. 323): si es positivo, se cambia por deslizamientos del nervio (p. 338). Dolor ≤3/10 y no peor al día siguiente. Libro, pp. 332-333.</t>
  </si>
  <si>
    <t xml:space="preserve">Autorregulación: si un músculo pierde reps 2 sesiones seguidas, esa semana NO le subas series. Si se estancan varios a la vez o la rodilla empeora en el test, repite la semana anterior.</t>
  </si>
  <si>
    <t xml:space="preserve">Semana 9 (14-20/12) · Viaje = descarga  ·  Semana 10 · Vuelta progresiva</t>
  </si>
  <si>
    <t xml:space="preserve">Hipertrofia: la semana sin entrenar hace de descarga justo después del pico de volumen de la semana 8.</t>
  </si>
  <si>
    <t xml:space="preserve">Rodilla en el viaje: nunca reposo total del tendón. Sentadilla española 5×45 s cada día (sin anclaje → wall sit a 1 pierna) y las dos pruebas de la mañana (declive + 10 subidas). Carrera: si puedes, 2 rodajes suaves sin pasar del nivel de S8 y nunca dos días seguidos, con la regla de carrera (≤2/10, nivel previo en ≤60 min, mañana siguiente no peor).</t>
  </si>
  <si>
    <t xml:space="preserve">Semana 10 (vuelta): hipertrofia con las series de la sem 3-4 y a RIR2. Rehab ×8 al ~80% del peso de la sem 8; si se cumple la regla de 24-48 h, semana 11 a peso completo y siguiente escalón del libro (×6). Carrera: retomas el nivel de S8, o uno por debajo si no pudiste correr en el viaje.</t>
  </si>
  <si>
    <t xml:space="preserve">Series semanales por grupo muscular (se recalculan solas al cambiar la tabla)</t>
  </si>
  <si>
    <t xml:space="preserve">Grupo muscular</t>
  </si>
  <si>
    <t xml:space="preserve">Sem 1 → Sem 8</t>
  </si>
  <si>
    <t xml:space="preserve">Sem 1</t>
  </si>
  <si>
    <t xml:space="preserve">Sem 2</t>
  </si>
  <si>
    <t xml:space="preserve">Sem 3</t>
  </si>
  <si>
    <t xml:space="preserve">Sem 4</t>
  </si>
  <si>
    <t xml:space="preserve">Sem 5</t>
  </si>
  <si>
    <t xml:space="preserve">Sem 6</t>
  </si>
  <si>
    <t xml:space="preserve">Sem 7</t>
  </si>
  <si>
    <t xml:space="preserve">Sem 8</t>
  </si>
  <si>
    <t xml:space="preserve">TOTAL hipertrofia</t>
  </si>
  <si>
    <t xml:space="preserve">Desglose biomecánico de Espalda por planos (se recalcula solo al cambiar la tabla)</t>
  </si>
  <si>
    <t xml:space="preserve">Plano / Región de Espalda</t>
  </si>
  <si>
    <t xml:space="preserve">Ejercicios incluidos</t>
  </si>
  <si>
    <t xml:space="preserve">Dorsal Bajo (Plano Frontal)</t>
  </si>
  <si>
    <t xml:space="preserve">Jalón ancho plano frontal (X) + Aducción unil. polea alta (V)</t>
  </si>
  <si>
    <t xml:space="preserve">Dorsal Superior (Plano Sagital)</t>
  </si>
  <si>
    <t xml:space="preserve">Jalón neutro bolsillos (X) + Dominada neutra (V) + Remo máq. 30° (V)</t>
  </si>
  <si>
    <t xml:space="preserve">Espalda Alta (Plano Transversal)</t>
  </si>
  <si>
    <t xml:space="preserve">Remo gironda abierto (X)</t>
  </si>
  <si>
    <t xml:space="preserve">Total Transversal (Espalda Alta + Post.)</t>
  </si>
  <si>
    <t xml:space="preserve">Remo gironda abierto (X) + Posterior polea (X)</t>
  </si>
  <si>
    <t xml:space="preserve">BLOQUE DE CARDIO Y CARRERA (S2-S8)</t>
  </si>
  <si>
    <t xml:space="preserve">Día / Sesión</t>
  </si>
  <si>
    <t xml:space="preserve">Tipo / Zona</t>
  </si>
  <si>
    <t xml:space="preserve">Pautas Biomecánicas Rodilla &amp; Intensidad</t>
  </si>
  <si>
    <t xml:space="preserve">Martes (Post-Push)</t>
  </si>
  <si>
    <t xml:space="preserve">Bici Z2 (65–75% FC)</t>
  </si>
  <si>
    <t xml:space="preserve">15 min</t>
  </si>
  <si>
    <t xml:space="preserve">10' Z2</t>
  </si>
  <si>
    <t xml:space="preserve">No se hizo en S1: estímulo NUEVO [LÓGICA]. Entra en S4 (el viernes) solo si S2 y S3 cumplieron la regla; desde S5, martes y viernes. Sin Z3 en este bloque. Lo primero que se quita si hay brote. Sillín alto (rodilla a 20-25° abajo), 85-90 rpm, sentado. 10 min fijos en el bloque; subir a 15 después del viaje, como novedad única.</t>
  </si>
  <si>
    <t xml:space="preserve">Viernes (Post-Torso)</t>
  </si>
  <si>
    <t xml:space="preserve">Bici Z2 (sin Z3 en este bloque)</t>
  </si>
  <si>
    <t xml:space="preserve">12 min</t>
  </si>
  <si>
    <t xml:space="preserve">10' Z2
nov: 1.ª vez</t>
  </si>
  <si>
    <t xml:space="preserve">S4: primera vez, solo si esa mañana estás igual o mejor; se valida con las mediciones del sábado y del domingo (el sábado no hay pierna). Ver la nota del martes.</t>
  </si>
  <si>
    <t xml:space="preserve">Miércoles · Carrera (nivel nuevo)</t>
  </si>
  <si>
    <t xml:space="preserve">Andar-correr en llano</t>
  </si>
  <si>
    <t xml:space="preserve">N1 · 8×(1'/2')</t>
  </si>
  <si>
    <t xml:space="preserve">N2 · 6×(2'/1')</t>
  </si>
  <si>
    <t xml:space="preserve">N3 · 4×(4'/1')</t>
  </si>
  <si>
    <t xml:space="preserve">N4 · 4×(5'/1')</t>
  </si>
  <si>
    <t xml:space="preserve">N5 · 2×(13'/1')</t>
  </si>
  <si>
    <t xml:space="preserve">N6 · 30' seguidos</t>
  </si>
  <si>
    <t xml:space="preserve">repite N6</t>
  </si>
  <si>
    <t xml:space="preserve">Formato: minutos trotando / minutos andando. Nivel nuevo solo si esa mañana estás igual o mejor; si no, repite el anterior (los niveles son objetivos, no fechas). 5 min andando antes; llano y firme. Regla de carrera: ≤2/10 durante, vuelta al nivel previo en ≤60 min y la mañana siguiente no peor; para avanzar, además, peor valor 24-48 h ≤ referencia [EVIDENCIA de uso: TREK Education, basada en Esculier; no comparada con otros umbrales]. Cadencia +5-10% opcional [EVIDENCIA mixta: Bramah 2019, serie de 12 corredores con mejora de dolor y función mantenida a 3 meses; Esculier 2018, sin beneficio extra sobre la educación].</t>
  </si>
  <si>
    <t xml:space="preserve">Domingo · Carrera (repite)</t>
  </si>
  <si>
    <t xml:space="preserve">repite el
miércoles</t>
  </si>
  <si>
    <t xml:space="preserve">Repite el nivel validado el miércoles. Nunca dos días seguidos corriendo [LÓGICA]. El sábado no hay pierna: llegas descansado.</t>
  </si>
  <si>
    <t xml:space="preserve">Hitos y avisos</t>
  </si>
  <si>
    <t xml:space="preserve">Calendario</t>
  </si>
  <si>
    <t xml:space="preserve">Mar: paseo 30'
Mié: TD + saltitos
→ 1.ª carrera
Jue: test 1</t>
  </si>
  <si>
    <t xml:space="preserve">AVISO fisio
(ver Seguimiento)
Vie: bici</t>
  </si>
  <si>
    <t xml:space="preserve">Lun: x8
Jue: test 2</t>
  </si>
  <si>
    <t xml:space="preserve">Jue: test 3</t>
  </si>
  <si>
    <t xml:space="preserve">Repite S7
Jue: test opc.
rango completo</t>
  </si>
  <si>
    <t xml:space="preserve">Entrada a la carrera (S2), con la regla de carrera: martes, paseo de 30 min a paso rápido (≤2/10, nivel previo en ≤60 min y el miércoles por la mañana no peor); miércoles antes de correr, 10 touchdown con cada pierna y 20 saltitos a dos piernas (≤2/10). Si se cumplen los tres, 1.ª carrera ese miércoles (N1); si no, se repiten la semana siguiente [LÓGICA].</t>
  </si>
  <si>
    <t xml:space="preserve">REGLAS DEL BLOQUE RODILLA (S2-S8)</t>
  </si>
  <si>
    <t xml:space="preserve">Base [EVIDENCIA]: ejercicio combinado de cadera y rodilla (consensos de 2016 y 2018). Rodilla en 2 días, lunes y jueves (72-96 h entre sesiones, dentro de la ventana de 2-3 días de recuperación del tendón que describe el libro), pesado y lento en ambos; sábado sin pierna para llegar descansado a la carrera del domingo [LÓGICA].</t>
  </si>
  <si>
    <t xml:space="preserve">Mediciones: cada mañana, en casa, con las mismas pruebas: test en declive y 10 subidas con la D al mismo escalón o banco. Vale la peor de las dos (el declive solo no basta: te sale 0 aunque haya molestia). Se apuntan en «Seguimiento rodilla».</t>
  </si>
  <si>
    <t xml:space="preserve">Regla de gimnasio [LÓGICA]: ≤3/10 durante y el peor valor entre 24 y 48 h igual o mejor que la mañana del día de la sesión. Si no se cumple, retrocede un escalón en la siguiente sesión.</t>
  </si>
  <si>
    <t xml:space="preserve">Regla de carrera [EVIDENCIA de uso]: ≤2/10 durante, vuelta al nivel previo en ≤60 min y la mañana siguiente no peor; para avanzar, además, peor valor 24-48 h ≤ referencia. Se aplica también a la entrada a la carrera y a las fases hacia el fútbol [LÓGICA].</t>
  </si>
  <si>
    <t xml:space="preserve">Novedades [LÓGICA]: una por día y validada a las 24 y 48 h antes de repetirla. Lunes: escalón o reps (prensa) · miércoles: nivel de carrera · viernes de S4: bici. Solo si esa mañana estás igual o mejor. Si una medición falla, retrocede la última novedad anterior a ella. Lo validado se repite: el jueves usa la profundidad del lunes y el domingo repite el nivel del miércoles.</t>
  </si>
  <si>
    <t xml:space="preserve">S2: el test del jueves cae dentro de las 48 h de la 1.ª carrera. Si el viernes de S2 sale peor, cuenta para las dos: el domingo repites N1 y el miércoles de S3 no subes de nivel [LÓGICA].</t>
  </si>
  <si>
    <t xml:space="preserve">Escalones de profundidad de la D [LÓGICA; no hay pautas de rango validadas para la rótula: INCERTIDUMBRE]: escalón 0 = la profundidad que ya usas con la D; escalón 4 = la de la I. Reparte la diferencia en 4 partes iguales (como mucho ~15° cada una; si sale más, se termina después del bloque). Se sube los lunes de S3, S4, S6 y S7 en la prensa; la touchdown del lunes va a la profundidad ya validada y hace de filtro. Apunta las marcas en «Seguimiento rodilla».</t>
  </si>
  <si>
    <t xml:space="preserve">Chasquido: si no duele, no se quita ni se cambia nada. Si duele, cuenta como dolor.</t>
  </si>
  <si>
    <t xml:space="preserve">Brote [LÓGICA]: lo primero que se quita es la bici. Si fallan dos mediciones seguidas: 48-72 h solo sentadilla española 5×45 s diaria y caminar; luego retomas un escalón por debajo.</t>
  </si>
  <si>
    <t xml:space="preserve">Alarma: bloqueo real, fallos repetidos de la rodilla o hinchazón visible → se para la progresión y toca valoración clínica.</t>
  </si>
  <si>
    <t xml:space="preserve">AVISO S4 (fisio deportivo pendiente): si la molestia a las 24-48 h de S4 está igual o peor que en S2, o si el chasquido empieza a doler, la valoración pasa a ser prioritaria; si estás peor, se para la progresión hasta entonces. «Seguimiento rodilla» lo calcula.</t>
  </si>
  <si>
    <t xml:space="preserve">Fases hacia el fútbol, después del viaje [LÓGICA], siempre con la regla de carrera: cambios de dirección ← 30 min seguidos dos veces sin reacción y rango D = I · pliometría ← 2 semanas de cambios de dirección y 10 saltos a una pierna sin dolor · balón ← cuádriceps D ≥90% de la I en el test y pliometría media sin reacción · equipo ← 2 semanas de balón sin reacción.</t>
  </si>
  <si>
    <t xml:space="preserve">Seguimiento rodilla · S2-S10 (26/10 – 27/12)</t>
  </si>
  <si>
    <t xml:space="preserve">Cada mañana, en casa y antes de nada: test en declive y 10 subidas con la D al mismo escalón o banco (0-10) → columnas G y H. Después de la sesión: molestia máxima durante (J); en carrera o en el paseo de entrada, si vuelves al nivel previo en ≤60 min (K); y si el chasquido dolió (L). El resto se calcula solo: 24 h y 48 h salen de las mañanas siguientes, y «¿Cumple?» aplica ≤3/10 en gimnasio o ≤2/10 en carrera y que el peor valor 24-48 h no supere la referencia (la mañana del día de la sesión). «Novedad» trae lo planificado: si no la aplicas porque esa mañana estabas peor, cámbiala por «ninguna». Las celdas amarillas son para rellenar.</t>
  </si>
  <si>
    <t xml:space="preserve">Registro diario</t>
  </si>
  <si>
    <t xml:space="preserve">Fecha</t>
  </si>
  <si>
    <t xml:space="preserve">Día</t>
  </si>
  <si>
    <t xml:space="preserve">Sem</t>
  </si>
  <si>
    <t xml:space="preserve">Sesión (plan)</t>
  </si>
  <si>
    <t xml:space="preserve">Regla</t>
  </si>
  <si>
    <t xml:space="preserve">Novedad del día (plan)</t>
  </si>
  <si>
    <t xml:space="preserve">Mañana: declive (0-10)</t>
  </si>
  <si>
    <t xml:space="preserve">Mañana: 10 subidas D (0-10)</t>
  </si>
  <si>
    <t xml:space="preserve">Molestia mañana (auto)</t>
  </si>
  <si>
    <t xml:space="preserve">Durante (0-10)</t>
  </si>
  <si>
    <t xml:space="preserve">Nivel previo en ≤60 min (carrera)</t>
  </si>
  <si>
    <t xml:space="preserve">Chasquido doloroso</t>
  </si>
  <si>
    <t xml:space="preserve">24 h (auto)</t>
  </si>
  <si>
    <t xml:space="preserve">48 h (auto)</t>
  </si>
  <si>
    <t xml:space="preserve">Peor 24-48 h (auto)</t>
  </si>
  <si>
    <t xml:space="preserve">¿Cumple? (auto)</t>
  </si>
  <si>
    <t xml:space="preserve">L</t>
  </si>
  <si>
    <t xml:space="preserve">S2</t>
  </si>
  <si>
    <t xml:space="preserve">Rehab: touchdown + prensa (pesado) + abducción · laterales/gemelo/isquio</t>
  </si>
  <si>
    <t xml:space="preserve">Gimnasio (≤3/10)</t>
  </si>
  <si>
    <t xml:space="preserve">Reps x10 (prensa)</t>
  </si>
  <si>
    <t xml:space="preserve">M</t>
  </si>
  <si>
    <t xml:space="preserve">Push + paseo 30' (entrada)</t>
  </si>
  <si>
    <t xml:space="preserve">Carrera (≤2/10)</t>
  </si>
  <si>
    <t xml:space="preserve">Paseo 30' (criterio 1)</t>
  </si>
  <si>
    <t xml:space="preserve">X</t>
  </si>
  <si>
    <t xml:space="preserve">Pull + criterios 2-3 + 1.ª carrera</t>
  </si>
  <si>
    <t xml:space="preserve">Criterios 2-3 + carrera N1</t>
  </si>
  <si>
    <t xml:space="preserve">J</t>
  </si>
  <si>
    <t xml:space="preserve">Test + rehab: sentadilla + búlgara (pesado) + abducción · isquio/aductor/gemelo</t>
  </si>
  <si>
    <t xml:space="preserve">Test de fuerza 1 (nuevo)</t>
  </si>
  <si>
    <t xml:space="preserve">V</t>
  </si>
  <si>
    <t xml:space="preserve">Torso</t>
  </si>
  <si>
    <t xml:space="preserve">S</t>
  </si>
  <si>
    <t xml:space="preserve">Hombro/codo + abdominales (sin pierna)</t>
  </si>
  <si>
    <t xml:space="preserve">D</t>
  </si>
  <si>
    <t xml:space="preserve">Carrera (repite el miércoles)</t>
  </si>
  <si>
    <t xml:space="preserve">— (repite)</t>
  </si>
  <si>
    <t xml:space="preserve">S3</t>
  </si>
  <si>
    <t xml:space="preserve">Escalón +1 (prensa)</t>
  </si>
  <si>
    <t xml:space="preserve">Push</t>
  </si>
  <si>
    <t xml:space="preserve">Pull + carrera</t>
  </si>
  <si>
    <t xml:space="preserve">Carrera N2</t>
  </si>
  <si>
    <t xml:space="preserve">rehab: sentadilla + búlgara (pesado) + abducción · isquio/aductor/gemelo</t>
  </si>
  <si>
    <t xml:space="preserve">S4</t>
  </si>
  <si>
    <t xml:space="preserve">Carrera N3</t>
  </si>
  <si>
    <t xml:space="preserve">Torso + bici 10' Z2 (1.ª vez)</t>
  </si>
  <si>
    <t xml:space="preserve">Bici (1.ª vez)</t>
  </si>
  <si>
    <t xml:space="preserve">S5</t>
  </si>
  <si>
    <t xml:space="preserve">Reps x8 (prensa)</t>
  </si>
  <si>
    <t xml:space="preserve">Push + bici 10' Z2</t>
  </si>
  <si>
    <t xml:space="preserve">Carrera N4</t>
  </si>
  <si>
    <t xml:space="preserve">— (test 2, repetido)</t>
  </si>
  <si>
    <t xml:space="preserve">Torso + bici 10' Z2</t>
  </si>
  <si>
    <t xml:space="preserve">S6</t>
  </si>
  <si>
    <t xml:space="preserve">Carrera N5</t>
  </si>
  <si>
    <t xml:space="preserve">S7</t>
  </si>
  <si>
    <t xml:space="preserve">Carrera N6 (30')</t>
  </si>
  <si>
    <t xml:space="preserve">— (test 3, repetido)</t>
  </si>
  <si>
    <t xml:space="preserve">S8</t>
  </si>
  <si>
    <t xml:space="preserve">ninguna (repite S7)</t>
  </si>
  <si>
    <t xml:space="preserve">ninguna (repite N6)</t>
  </si>
  <si>
    <t xml:space="preserve">Test opcional rango completo</t>
  </si>
  <si>
    <t xml:space="preserve">S9</t>
  </si>
  <si>
    <t xml:space="preserve">Viaje · sentadilla española 5×45 s</t>
  </si>
  <si>
    <t xml:space="preserve">Viaje · rodaje suave opcional (≤ nivel S8)</t>
  </si>
  <si>
    <t xml:space="preserve">S10</t>
  </si>
  <si>
    <t xml:space="preserve">Vuelta: touchdown + prensa x8 al ~80% del peso de S8</t>
  </si>
  <si>
    <t xml:space="preserve">Vuelta (carga reducida)</t>
  </si>
  <si>
    <t xml:space="preserve">Pull + carrera (nivel S8 o uno menos)</t>
  </si>
  <si>
    <t xml:space="preserve">Vuelta a correr</t>
  </si>
  <si>
    <t xml:space="preserve">Vuelta: sentadilla/búlgara x8 al ~80% + abducción</t>
  </si>
  <si>
    <t xml:space="preserve">Resumen semanal</t>
  </si>
  <si>
    <t xml:space="preserve">Semana</t>
  </si>
  <si>
    <t xml:space="preserve">Molestia mañana media</t>
  </si>
  <si>
    <t xml:space="preserve">Peor mañana</t>
  </si>
  <si>
    <t xml:space="preserve">Sesiones que no cumplen</t>
  </si>
  <si>
    <t xml:space="preserve">Chasquidos dolorosos</t>
  </si>
  <si>
    <t xml:space="preserve">Nivel de carrera real</t>
  </si>
  <si>
    <t xml:space="preserve">Escalón D real (0-4)</t>
  </si>
  <si>
    <t xml:space="preserve">AVISO S4 (fisio)</t>
  </si>
  <si>
    <t xml:space="preserve">La molestia de cada semana es la media de las mañanas (peor de las dos pruebas). Si la media de S4 es igual o mayor que la de S2, la valoración del fisio pasa a ser prioritaria; si es mayor, además se para la progresión.</t>
  </si>
  <si>
    <t xml:space="preserve">Entrada a la carrera (S2) · regla de carrera: ≤2/10</t>
  </si>
  <si>
    <t xml:space="preserve">Criterio</t>
  </si>
  <si>
    <t xml:space="preserve">¿Cumple?</t>
  </si>
  <si>
    <t xml:space="preserve">Paseo de 30 min a paso rápido: ≤2/10, nivel previo en ≤60 min y el miércoles por la mañana no peor</t>
  </si>
  <si>
    <t xml:space="preserve">Mar 27/10</t>
  </si>
  <si>
    <t xml:space="preserve">10 touchdown con cada pierna: ≤2/10</t>
  </si>
  <si>
    <t xml:space="preserve">Mié 28/10</t>
  </si>
  <si>
    <t xml:space="preserve">20 saltitos a dos piernas: ≤2/10</t>
  </si>
  <si>
    <t xml:space="preserve">Resultado</t>
  </si>
  <si>
    <t xml:space="preserve">Test de fuerza · extensión unilateral en máquina, rango fijo 90→45° (jueves, al empezar la sesión)</t>
  </si>
  <si>
    <t xml:space="preserve">Rango</t>
  </si>
  <si>
    <t xml:space="preserve">Carga (kg)</t>
  </si>
  <si>
    <t xml:space="preserve">Reps D</t>
  </si>
  <si>
    <t xml:space="preserve">Reps I</t>
  </si>
  <si>
    <t xml:space="preserve">Fuerza est. D</t>
  </si>
  <si>
    <t xml:space="preserve">Fuerza est. I</t>
  </si>
  <si>
    <t xml:space="preserve">Simetría D/I</t>
  </si>
  <si>
    <t xml:space="preserve">¿≥90%?</t>
  </si>
  <si>
    <t xml:space="preserve">Test 1 (S2)</t>
  </si>
  <si>
    <t xml:space="preserve">90→45°</t>
  </si>
  <si>
    <t xml:space="preserve">Test 2 (S5)</t>
  </si>
  <si>
    <t xml:space="preserve">Test 3 (S7)</t>
  </si>
  <si>
    <t xml:space="preserve">Opcional (S8)</t>
  </si>
  <si>
    <t xml:space="preserve">completo</t>
  </si>
  <si>
    <t xml:space="preserve">Fuerza estimada = carga × (1 + reps/30) (fórmula de Epley; pierde precisión por encima de ~10 reps) [LÓGICA]. Misma carga en las dos piernas, D primero, tempo 2-0-2, al fallo técnico o hasta 3/10. Criterio antes del balón: simetría ≥90% [LÓGICA; viene de la vuelta al deporte tras LCA, no validado en dolor femoropatelar: INCERTIDUMBRE]. El test 1 marca la referencia: la comparación entre semanas solo vale con el mismo rango.</t>
  </si>
  <si>
    <t xml:space="preserve">Escalones de profundidad de la D (0 = la que usas ahora · 4 = la de la I)</t>
  </si>
  <si>
    <t xml:space="preserve">Escalón</t>
  </si>
  <si>
    <t xml:space="preserve">Ángulo aprox. de rodilla (opcional)</t>
  </si>
  <si>
    <t xml:space="preserve">Prensa (marca)</t>
  </si>
  <si>
    <t xml:space="preserve">Cajón / pines</t>
  </si>
  <si>
    <t xml:space="preserve">Búlgara (apoyo)</t>
  </si>
  <si>
    <t xml:space="preserve">Touchdown (plataforma)</t>
  </si>
  <si>
    <t xml:space="preserve">Validado en</t>
  </si>
  <si>
    <t xml:space="preserve">0 (actual)</t>
  </si>
  <si>
    <t xml:space="preserve">4 (= I)</t>
  </si>
  <si>
    <t xml:space="preserve">Reparte la diferencia entre la D y la I en 4 partes iguales (como mucho ~15° cada una; si sale más, se termina después del bloque). El ángulo se puede medir con una app de goniómetro. Se sube solo los lunes de S3, S4, S6 y S7, en la prensa y si esa mañana estás igual o mejor [LÓGICA]. La touchdown del lunes va a la profundidad ya validada (la de la semana anterior) y hace de filtro; el jueves usa la profundidad nueva validada el lunes.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</si>
</sst>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sz val="9"/>
      <color rgb="FF22222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4D"/>
        <bgColor rgb="FF333333"/>
      </patternFill>
    </fill>
    <fill>
      <patternFill patternType="solid">
        <fgColor rgb="FFE7ECEF"/>
        <bgColor rgb="FFDDF0DD"/>
      </patternFill>
    </fill>
    <fill>
      <patternFill patternType="solid">
        <fgColor rgb="FF2E6E8E"/>
        <bgColor rgb="FF008080"/>
      </patternFill>
    </fill>
    <fill>
      <patternFill patternType="solid">
        <fgColor rgb="FFDDF0DD"/>
        <bgColor rgb="FFE7ECEF"/>
      </patternFill>
    </fill>
    <fill>
      <patternFill patternType="solid">
        <fgColor rgb="FFFFF3E0"/>
        <bgColor rgb="FFFFFDE7"/>
      </patternFill>
    </fill>
    <fill>
      <patternFill patternType="solid">
        <fgColor rgb="FFFFFDE7"/>
        <bgColor rgb="FFFAFBFC"/>
      </patternFill>
    </fill>
    <fill>
      <patternFill patternType="solid">
        <fgColor rgb="FFF3F6F8"/>
        <bgColor rgb="FFFAFBFC"/>
      </patternFill>
    </fill>
    <fill>
      <patternFill patternType="solid">
        <fgColor rgb="FFFAFB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0B2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2E6E8E"/>
      <rgbColor rgb="FFBBBBBB"/>
      <rgbColor rgb="FF808080"/>
      <rgbColor rgb="FF9999FF"/>
      <rgbColor rgb="FF993366"/>
      <rgbColor rgb="FFFFFDE7"/>
      <rgbColor rgb="FFDDF0DD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CEF"/>
      <rgbColor rgb="FFC6EFCE"/>
      <rgbColor rgb="FFFFF3E0"/>
      <rgbColor rgb="FFF3F6F8"/>
      <rgbColor rgb="FFFAFBF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4D"/>
      <rgbColor rgb="FF339966"/>
      <rgbColor rgb="FF003300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zeroHeight="false" outlineLevelRow="0" outlineLevelCol="0"/>
  <cols>
    <col collapsed="false" customWidth="true" hidden="false" outlineLevel="0" max="1" min="1" style="0" width="25.97"/>
    <col collapsed="false" customWidth="true" hidden="false" outlineLevel="0" max="3" min="2" style="0" width="16.01"/>
    <col collapsed="false" customWidth="true" hidden="false" outlineLevel="0" max="4" min="4" style="0" width="20.05"/>
    <col collapsed="false" customWidth="true" hidden="false" outlineLevel="0" max="5" min="5" style="0" width="34.03"/>
    <col collapsed="false" customWidth="true" hidden="false" outlineLevel="0" max="6" min="6" style="0" width="8.7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true" outlineLevel="0" collapsed="false"/>
    <row r="4" customFormat="false" ht="15" hidden="false" customHeight="true" outlineLevel="0" collapsed="false">
      <c r="A4" s="3" t="s">
        <v>2</v>
      </c>
      <c r="B4" s="3"/>
      <c r="C4" s="3"/>
      <c r="D4" s="3"/>
      <c r="E4" s="3"/>
    </row>
    <row r="5" customFormat="false" ht="48" hidden="false" customHeight="true" outlineLevel="0" collapsed="false">
      <c r="A5" s="4" t="s">
        <v>3</v>
      </c>
      <c r="B5" s="5" t="s">
        <v>4</v>
      </c>
      <c r="C5" s="5"/>
      <c r="D5" s="5"/>
      <c r="E5" s="5"/>
    </row>
    <row r="6" customFormat="false" ht="48" hidden="false" customHeight="true" outlineLevel="0" collapsed="false">
      <c r="A6" s="4" t="s">
        <v>5</v>
      </c>
      <c r="B6" s="5" t="s">
        <v>6</v>
      </c>
      <c r="C6" s="5"/>
      <c r="D6" s="5"/>
      <c r="E6" s="5"/>
    </row>
    <row r="7" customFormat="false" ht="48" hidden="false" customHeight="true" outlineLevel="0" collapsed="false">
      <c r="A7" s="4" t="s">
        <v>7</v>
      </c>
      <c r="B7" s="5" t="s">
        <v>8</v>
      </c>
      <c r="C7" s="5"/>
      <c r="D7" s="5"/>
      <c r="E7" s="5"/>
    </row>
    <row r="8" customFormat="false" ht="48" hidden="false" customHeight="true" outlineLevel="0" collapsed="false">
      <c r="A8" s="4" t="s">
        <v>9</v>
      </c>
      <c r="B8" s="5" t="s">
        <v>10</v>
      </c>
      <c r="C8" s="5"/>
      <c r="D8" s="5"/>
      <c r="E8" s="5"/>
    </row>
    <row r="9" customFormat="false" ht="48" hidden="false" customHeight="true" outlineLevel="0" collapsed="false">
      <c r="A9" s="4" t="s">
        <v>11</v>
      </c>
      <c r="B9" s="5" t="s">
        <v>12</v>
      </c>
      <c r="C9" s="5"/>
      <c r="D9" s="5"/>
      <c r="E9" s="5"/>
    </row>
    <row r="10" customFormat="false" ht="15" hidden="false" customHeight="true" outlineLevel="0" collapsed="false"/>
    <row r="11" customFormat="false" ht="15" hidden="false" customHeight="true" outlineLevel="0" collapsed="false">
      <c r="A11" s="3" t="s">
        <v>13</v>
      </c>
      <c r="B11" s="3"/>
      <c r="C11" s="3"/>
      <c r="D11" s="3"/>
      <c r="E11" s="3"/>
    </row>
    <row r="12" customFormat="false" ht="31.5" hidden="false" customHeight="true" outlineLevel="0" collapsed="false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18</v>
      </c>
    </row>
    <row r="13" customFormat="false" ht="15" hidden="false" customHeight="true" outlineLevel="0" collapsed="false">
      <c r="A13" s="5" t="s">
        <v>19</v>
      </c>
      <c r="B13" s="7" t="s">
        <v>20</v>
      </c>
      <c r="C13" s="7" t="s">
        <v>21</v>
      </c>
      <c r="D13" s="7" t="s">
        <v>22</v>
      </c>
      <c r="E13" s="5"/>
    </row>
    <row r="14" customFormat="false" ht="15" hidden="false" customHeight="true" outlineLevel="0" collapsed="false">
      <c r="A14" s="5" t="s">
        <v>23</v>
      </c>
      <c r="B14" s="7" t="s">
        <v>24</v>
      </c>
      <c r="C14" s="7" t="s">
        <v>25</v>
      </c>
      <c r="D14" s="7" t="s">
        <v>26</v>
      </c>
      <c r="E14" s="5"/>
    </row>
    <row r="15" customFormat="false" ht="15" hidden="false" customHeight="true" outlineLevel="0" collapsed="false">
      <c r="A15" s="5" t="s">
        <v>27</v>
      </c>
      <c r="B15" s="7" t="s">
        <v>24</v>
      </c>
      <c r="C15" s="7" t="s">
        <v>25</v>
      </c>
      <c r="D15" s="7" t="s">
        <v>26</v>
      </c>
      <c r="E15" s="5"/>
    </row>
    <row r="16" customFormat="false" ht="15" hidden="false" customHeight="true" outlineLevel="0" collapsed="false">
      <c r="A16" s="5" t="s">
        <v>28</v>
      </c>
      <c r="B16" s="7" t="s">
        <v>24</v>
      </c>
      <c r="C16" s="7" t="s">
        <v>24</v>
      </c>
      <c r="D16" s="7" t="s">
        <v>29</v>
      </c>
      <c r="E16" s="5"/>
    </row>
    <row r="17" customFormat="false" ht="15" hidden="false" customHeight="true" outlineLevel="0" collapsed="false">
      <c r="A17" s="5" t="s">
        <v>30</v>
      </c>
      <c r="B17" s="7" t="s">
        <v>24</v>
      </c>
      <c r="C17" s="7" t="s">
        <v>25</v>
      </c>
      <c r="D17" s="7" t="s">
        <v>29</v>
      </c>
      <c r="E17" s="5" t="s">
        <v>31</v>
      </c>
    </row>
    <row r="18" customFormat="false" ht="15" hidden="false" customHeight="true" outlineLevel="0" collapsed="false">
      <c r="A18" s="5" t="s">
        <v>32</v>
      </c>
      <c r="B18" s="7" t="s">
        <v>33</v>
      </c>
      <c r="C18" s="7" t="s">
        <v>33</v>
      </c>
      <c r="D18" s="7" t="s">
        <v>29</v>
      </c>
      <c r="E18" s="5"/>
    </row>
    <row r="19" customFormat="false" ht="15" hidden="false" customHeight="true" outlineLevel="0" collapsed="false">
      <c r="A19" s="5" t="s">
        <v>34</v>
      </c>
      <c r="B19" s="7" t="s">
        <v>35</v>
      </c>
      <c r="C19" s="7" t="s">
        <v>36</v>
      </c>
      <c r="D19" s="7" t="s">
        <v>29</v>
      </c>
      <c r="E19" s="5" t="s">
        <v>37</v>
      </c>
    </row>
    <row r="20" customFormat="false" ht="15" hidden="false" customHeight="true" outlineLevel="0" collapsed="false">
      <c r="A20" s="5" t="s">
        <v>38</v>
      </c>
      <c r="B20" s="7" t="s">
        <v>39</v>
      </c>
      <c r="C20" s="7" t="s">
        <v>29</v>
      </c>
      <c r="D20" s="7" t="s">
        <v>40</v>
      </c>
      <c r="E20" s="5"/>
    </row>
    <row r="21" customFormat="false" ht="15.75" hidden="false" customHeight="true" outlineLevel="0" collapsed="false">
      <c r="A21" s="5" t="s">
        <v>41</v>
      </c>
      <c r="B21" s="7" t="s">
        <v>26</v>
      </c>
      <c r="C21" s="7" t="s">
        <v>42</v>
      </c>
      <c r="D21" s="7" t="s">
        <v>40</v>
      </c>
      <c r="E21" s="5"/>
    </row>
    <row r="22" customFormat="false" ht="15.75" hidden="false" customHeight="true" outlineLevel="0" collapsed="false">
      <c r="A22" s="8" t="s">
        <v>11</v>
      </c>
      <c r="B22" s="9" t="s">
        <v>43</v>
      </c>
      <c r="C22" s="9" t="s">
        <v>43</v>
      </c>
      <c r="D22" s="9" t="s">
        <v>43</v>
      </c>
      <c r="E22" s="8" t="s">
        <v>44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1:E1"/>
    <mergeCell ref="A2:E2"/>
    <mergeCell ref="A4:E4"/>
    <mergeCell ref="B5:E5"/>
    <mergeCell ref="B6:E6"/>
    <mergeCell ref="B7:E7"/>
    <mergeCell ref="B8:E8"/>
    <mergeCell ref="B9:E9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.01"/>
    <col collapsed="false" customWidth="true" hidden="false" outlineLevel="0" max="5" min="5" style="0" width="30"/>
    <col collapsed="false" customWidth="true" hidden="false" outlineLevel="0" max="6" min="6" style="0" width="8.74"/>
  </cols>
  <sheetData>
    <row r="1" customFormat="false" ht="24" hidden="false" customHeight="true" outlineLevel="0" collapsed="false">
      <c r="A1" s="1" t="s">
        <v>45</v>
      </c>
      <c r="B1" s="1"/>
      <c r="C1" s="1"/>
      <c r="D1" s="1"/>
      <c r="E1" s="1"/>
    </row>
    <row r="2" customFormat="false" ht="15" hidden="false" customHeight="true" outlineLevel="0" collapsed="false">
      <c r="A2" s="10" t="s">
        <v>46</v>
      </c>
      <c r="B2" s="10"/>
      <c r="C2" s="10"/>
      <c r="D2" s="10"/>
      <c r="E2" s="10"/>
    </row>
    <row r="3" customFormat="false" ht="15" hidden="false" customHeight="true" outlineLevel="0" collapsed="false"/>
    <row r="4" customFormat="false" ht="19.5" hidden="false" customHeight="true" outlineLevel="0" collapsed="false">
      <c r="A4" s="11" t="s">
        <v>47</v>
      </c>
      <c r="B4" s="11"/>
      <c r="C4" s="11"/>
      <c r="D4" s="11"/>
      <c r="E4" s="11"/>
    </row>
    <row r="5" customFormat="false" ht="23.25" hidden="false" customHeight="true" outlineLevel="0" collapsed="false">
      <c r="A5" s="12" t="s">
        <v>48</v>
      </c>
      <c r="B5" s="12" t="s">
        <v>49</v>
      </c>
      <c r="C5" s="12" t="s">
        <v>50</v>
      </c>
      <c r="D5" s="12" t="s">
        <v>51</v>
      </c>
      <c r="E5" s="12" t="s">
        <v>52</v>
      </c>
    </row>
    <row r="6" customFormat="false" ht="15" hidden="false" customHeight="true" outlineLevel="0" collapsed="false">
      <c r="A6" s="5" t="s">
        <v>53</v>
      </c>
      <c r="B6" s="5" t="s">
        <v>54</v>
      </c>
      <c r="C6" s="7" t="s">
        <v>55</v>
      </c>
      <c r="D6" s="7" t="s">
        <v>56</v>
      </c>
      <c r="E6" s="7"/>
    </row>
    <row r="7" customFormat="false" ht="15" hidden="false" customHeight="true" outlineLevel="0" collapsed="false">
      <c r="A7" s="5" t="s">
        <v>57</v>
      </c>
      <c r="B7" s="5" t="s">
        <v>58</v>
      </c>
      <c r="C7" s="7" t="s">
        <v>59</v>
      </c>
      <c r="D7" s="7" t="s">
        <v>56</v>
      </c>
      <c r="E7" s="7"/>
    </row>
    <row r="8" customFormat="false" ht="15" hidden="false" customHeight="true" outlineLevel="0" collapsed="false">
      <c r="A8" s="8" t="s">
        <v>60</v>
      </c>
      <c r="B8" s="8" t="s">
        <v>61</v>
      </c>
      <c r="C8" s="9" t="s">
        <v>62</v>
      </c>
      <c r="D8" s="9" t="s">
        <v>62</v>
      </c>
      <c r="E8" s="9" t="s">
        <v>63</v>
      </c>
    </row>
    <row r="9" customFormat="false" ht="15" hidden="false" customHeight="true" outlineLevel="0" collapsed="false">
      <c r="A9" s="8" t="s">
        <v>64</v>
      </c>
      <c r="B9" s="8" t="s">
        <v>61</v>
      </c>
      <c r="C9" s="9" t="s">
        <v>62</v>
      </c>
      <c r="D9" s="9" t="s">
        <v>62</v>
      </c>
      <c r="E9" s="9" t="s">
        <v>63</v>
      </c>
    </row>
    <row r="10" customFormat="false" ht="15" hidden="false" customHeight="true" outlineLevel="0" collapsed="false">
      <c r="A10" s="8" t="s">
        <v>65</v>
      </c>
      <c r="B10" s="8" t="s">
        <v>61</v>
      </c>
      <c r="C10" s="9" t="s">
        <v>66</v>
      </c>
      <c r="D10" s="9" t="s">
        <v>66</v>
      </c>
      <c r="E10" s="9" t="s">
        <v>63</v>
      </c>
    </row>
    <row r="11" customFormat="false" ht="15" hidden="false" customHeight="true" outlineLevel="0" collapsed="false">
      <c r="A11" s="8" t="s">
        <v>67</v>
      </c>
      <c r="B11" s="8" t="s">
        <v>61</v>
      </c>
      <c r="C11" s="9" t="s">
        <v>68</v>
      </c>
      <c r="D11" s="9" t="s">
        <v>68</v>
      </c>
      <c r="E11" s="9" t="s">
        <v>69</v>
      </c>
    </row>
    <row r="12" customFormat="false" ht="15" hidden="false" customHeight="true" outlineLevel="0" collapsed="false">
      <c r="A12" s="8" t="s">
        <v>70</v>
      </c>
      <c r="B12" s="8" t="s">
        <v>61</v>
      </c>
      <c r="C12" s="9" t="s">
        <v>71</v>
      </c>
      <c r="D12" s="9" t="s">
        <v>71</v>
      </c>
      <c r="E12" s="9" t="s">
        <v>63</v>
      </c>
    </row>
    <row r="13" customFormat="false" ht="23.25" hidden="false" customHeight="true" outlineLevel="0" collapsed="false">
      <c r="A13" s="5" t="s">
        <v>72</v>
      </c>
      <c r="B13" s="5" t="s">
        <v>73</v>
      </c>
      <c r="C13" s="7" t="s">
        <v>55</v>
      </c>
      <c r="D13" s="7" t="s">
        <v>74</v>
      </c>
      <c r="E13" s="7"/>
    </row>
    <row r="14" customFormat="false" ht="15" hidden="false" customHeight="true" outlineLevel="0" collapsed="false"/>
    <row r="15" customFormat="false" ht="19.5" hidden="false" customHeight="true" outlineLevel="0" collapsed="false">
      <c r="A15" s="11" t="s">
        <v>75</v>
      </c>
      <c r="B15" s="11"/>
      <c r="C15" s="11"/>
      <c r="D15" s="11"/>
      <c r="E15" s="11"/>
    </row>
    <row r="16" customFormat="false" ht="23.25" hidden="false" customHeight="true" outlineLevel="0" collapsed="false">
      <c r="A16" s="12" t="s">
        <v>48</v>
      </c>
      <c r="B16" s="12" t="s">
        <v>49</v>
      </c>
      <c r="C16" s="12" t="s">
        <v>50</v>
      </c>
      <c r="D16" s="12" t="s">
        <v>51</v>
      </c>
      <c r="E16" s="12" t="s">
        <v>52</v>
      </c>
    </row>
    <row r="17" customFormat="false" ht="15" hidden="false" customHeight="true" outlineLevel="0" collapsed="false">
      <c r="A17" s="5" t="s">
        <v>76</v>
      </c>
      <c r="B17" s="5" t="s">
        <v>23</v>
      </c>
      <c r="C17" s="7" t="s">
        <v>77</v>
      </c>
      <c r="D17" s="7" t="s">
        <v>78</v>
      </c>
      <c r="E17" s="7"/>
    </row>
    <row r="18" customFormat="false" ht="15" hidden="false" customHeight="true" outlineLevel="0" collapsed="false">
      <c r="A18" s="5" t="s">
        <v>79</v>
      </c>
      <c r="B18" s="5" t="s">
        <v>23</v>
      </c>
      <c r="C18" s="7" t="s">
        <v>55</v>
      </c>
      <c r="D18" s="7" t="s">
        <v>56</v>
      </c>
      <c r="E18" s="7"/>
    </row>
    <row r="19" customFormat="false" ht="15" hidden="false" customHeight="true" outlineLevel="0" collapsed="false">
      <c r="A19" s="5" t="s">
        <v>80</v>
      </c>
      <c r="B19" s="5" t="s">
        <v>81</v>
      </c>
      <c r="C19" s="7" t="s">
        <v>59</v>
      </c>
      <c r="D19" s="7" t="s">
        <v>82</v>
      </c>
      <c r="E19" s="7"/>
    </row>
    <row r="20" customFormat="false" ht="15" hidden="false" customHeight="true" outlineLevel="0" collapsed="false">
      <c r="A20" s="5" t="s">
        <v>83</v>
      </c>
      <c r="B20" s="5" t="s">
        <v>30</v>
      </c>
      <c r="C20" s="7" t="s">
        <v>77</v>
      </c>
      <c r="D20" s="7" t="s">
        <v>74</v>
      </c>
      <c r="E20" s="7"/>
    </row>
    <row r="21" customFormat="false" ht="15.75" hidden="false" customHeight="true" outlineLevel="0" collapsed="false">
      <c r="A21" s="5" t="s">
        <v>41</v>
      </c>
      <c r="B21" s="5" t="s">
        <v>41</v>
      </c>
      <c r="C21" s="7" t="s">
        <v>55</v>
      </c>
      <c r="D21" s="7" t="s">
        <v>56</v>
      </c>
      <c r="E21" s="7"/>
    </row>
    <row r="22" customFormat="false" ht="15.75" hidden="false" customHeight="true" outlineLevel="0" collapsed="false">
      <c r="A22" s="5" t="s">
        <v>32</v>
      </c>
      <c r="B22" s="5" t="s">
        <v>32</v>
      </c>
      <c r="C22" s="7" t="s">
        <v>77</v>
      </c>
      <c r="D22" s="7" t="s">
        <v>74</v>
      </c>
      <c r="E22" s="7"/>
    </row>
    <row r="23" customFormat="false" ht="15.75" hidden="false" customHeight="true" outlineLevel="0" collapsed="false"/>
    <row r="24" customFormat="false" ht="19.5" hidden="false" customHeight="true" outlineLevel="0" collapsed="false">
      <c r="A24" s="11" t="s">
        <v>84</v>
      </c>
      <c r="B24" s="11"/>
      <c r="C24" s="11"/>
      <c r="D24" s="11"/>
      <c r="E24" s="11"/>
    </row>
    <row r="25" customFormat="false" ht="15.75" hidden="false" customHeight="true" outlineLevel="0" collapsed="false">
      <c r="A25" s="12" t="s">
        <v>48</v>
      </c>
      <c r="B25" s="12" t="s">
        <v>49</v>
      </c>
      <c r="C25" s="12" t="s">
        <v>50</v>
      </c>
      <c r="D25" s="12" t="s">
        <v>51</v>
      </c>
      <c r="E25" s="12" t="s">
        <v>52</v>
      </c>
    </row>
    <row r="26" customFormat="false" ht="15.75" hidden="false" customHeight="true" outlineLevel="0" collapsed="false">
      <c r="A26" s="5" t="s">
        <v>85</v>
      </c>
      <c r="B26" s="5" t="s">
        <v>86</v>
      </c>
      <c r="C26" s="7" t="s">
        <v>77</v>
      </c>
      <c r="D26" s="7" t="s">
        <v>78</v>
      </c>
      <c r="E26" s="7"/>
    </row>
    <row r="27" customFormat="false" ht="15.75" hidden="false" customHeight="true" outlineLevel="0" collapsed="false">
      <c r="A27" s="5" t="s">
        <v>87</v>
      </c>
      <c r="B27" s="5" t="s">
        <v>86</v>
      </c>
      <c r="C27" s="7" t="s">
        <v>77</v>
      </c>
      <c r="D27" s="7" t="s">
        <v>74</v>
      </c>
      <c r="E27" s="7"/>
    </row>
    <row r="28" customFormat="false" ht="15.75" hidden="false" customHeight="true" outlineLevel="0" collapsed="false">
      <c r="A28" s="5" t="s">
        <v>88</v>
      </c>
      <c r="B28" s="5" t="s">
        <v>89</v>
      </c>
      <c r="C28" s="7" t="s">
        <v>55</v>
      </c>
      <c r="D28" s="7" t="s">
        <v>56</v>
      </c>
      <c r="E28" s="7"/>
    </row>
    <row r="29" customFormat="false" ht="15.75" hidden="false" customHeight="true" outlineLevel="0" collapsed="false">
      <c r="A29" s="5" t="s">
        <v>90</v>
      </c>
      <c r="B29" s="5" t="s">
        <v>91</v>
      </c>
      <c r="C29" s="7" t="s">
        <v>59</v>
      </c>
      <c r="D29" s="7" t="s">
        <v>82</v>
      </c>
      <c r="E29" s="7"/>
    </row>
    <row r="30" customFormat="false" ht="15.75" hidden="false" customHeight="true" outlineLevel="0" collapsed="false">
      <c r="A30" s="5" t="s">
        <v>92</v>
      </c>
      <c r="B30" s="5" t="s">
        <v>54</v>
      </c>
      <c r="C30" s="7" t="s">
        <v>55</v>
      </c>
      <c r="D30" s="7" t="s">
        <v>74</v>
      </c>
      <c r="E30" s="7"/>
    </row>
    <row r="31" customFormat="false" ht="15.75" hidden="false" customHeight="true" outlineLevel="0" collapsed="false">
      <c r="A31" s="5" t="s">
        <v>93</v>
      </c>
      <c r="B31" s="5" t="s">
        <v>94</v>
      </c>
      <c r="C31" s="7" t="s">
        <v>59</v>
      </c>
      <c r="D31" s="7" t="s">
        <v>82</v>
      </c>
      <c r="E31" s="7"/>
    </row>
    <row r="32" customFormat="false" ht="15.75" hidden="false" customHeight="true" outlineLevel="0" collapsed="false">
      <c r="A32" s="5" t="s">
        <v>95</v>
      </c>
      <c r="B32" s="5" t="s">
        <v>28</v>
      </c>
      <c r="C32" s="7" t="s">
        <v>77</v>
      </c>
      <c r="D32" s="7" t="s">
        <v>74</v>
      </c>
      <c r="E32" s="7"/>
    </row>
    <row r="33" customFormat="false" ht="15.75" hidden="false" customHeight="true" outlineLevel="0" collapsed="false"/>
    <row r="34" customFormat="false" ht="19.5" hidden="false" customHeight="true" outlineLevel="0" collapsed="false">
      <c r="A34" s="11" t="s">
        <v>96</v>
      </c>
      <c r="B34" s="11"/>
      <c r="C34" s="11"/>
      <c r="D34" s="11"/>
      <c r="E34" s="11"/>
    </row>
    <row r="35" customFormat="false" ht="15.75" hidden="false" customHeight="true" outlineLevel="0" collapsed="false">
      <c r="A35" s="12" t="s">
        <v>48</v>
      </c>
      <c r="B35" s="12" t="s">
        <v>49</v>
      </c>
      <c r="C35" s="12" t="s">
        <v>50</v>
      </c>
      <c r="D35" s="12" t="s">
        <v>51</v>
      </c>
      <c r="E35" s="12" t="s">
        <v>52</v>
      </c>
    </row>
    <row r="36" customFormat="false" ht="15.75" hidden="false" customHeight="true" outlineLevel="0" collapsed="false">
      <c r="A36" s="8" t="s">
        <v>60</v>
      </c>
      <c r="B36" s="8" t="s">
        <v>61</v>
      </c>
      <c r="C36" s="9" t="s">
        <v>62</v>
      </c>
      <c r="D36" s="9" t="s">
        <v>62</v>
      </c>
      <c r="E36" s="9" t="s">
        <v>63</v>
      </c>
    </row>
    <row r="37" customFormat="false" ht="15.75" hidden="false" customHeight="true" outlineLevel="0" collapsed="false">
      <c r="A37" s="8" t="s">
        <v>64</v>
      </c>
      <c r="B37" s="8" t="s">
        <v>61</v>
      </c>
      <c r="C37" s="9" t="s">
        <v>62</v>
      </c>
      <c r="D37" s="9" t="s">
        <v>62</v>
      </c>
      <c r="E37" s="9" t="s">
        <v>63</v>
      </c>
    </row>
    <row r="38" customFormat="false" ht="15.75" hidden="false" customHeight="true" outlineLevel="0" collapsed="false">
      <c r="A38" s="8" t="s">
        <v>65</v>
      </c>
      <c r="B38" s="8" t="s">
        <v>61</v>
      </c>
      <c r="C38" s="9" t="s">
        <v>66</v>
      </c>
      <c r="D38" s="9" t="s">
        <v>66</v>
      </c>
      <c r="E38" s="9" t="s">
        <v>63</v>
      </c>
    </row>
    <row r="39" customFormat="false" ht="15.75" hidden="false" customHeight="true" outlineLevel="0" collapsed="false">
      <c r="A39" s="8" t="s">
        <v>67</v>
      </c>
      <c r="B39" s="8" t="s">
        <v>61</v>
      </c>
      <c r="C39" s="9" t="s">
        <v>68</v>
      </c>
      <c r="D39" s="9" t="s">
        <v>68</v>
      </c>
      <c r="E39" s="9" t="s">
        <v>63</v>
      </c>
    </row>
    <row r="40" customFormat="false" ht="15.75" hidden="false" customHeight="true" outlineLevel="0" collapsed="false">
      <c r="A40" s="8" t="s">
        <v>70</v>
      </c>
      <c r="B40" s="8" t="s">
        <v>61</v>
      </c>
      <c r="C40" s="9" t="s">
        <v>71</v>
      </c>
      <c r="D40" s="9" t="s">
        <v>71</v>
      </c>
      <c r="E40" s="9" t="s">
        <v>63</v>
      </c>
    </row>
    <row r="41" customFormat="false" ht="15.75" hidden="false" customHeight="true" outlineLevel="0" collapsed="false">
      <c r="A41" s="5" t="s">
        <v>72</v>
      </c>
      <c r="B41" s="5" t="s">
        <v>72</v>
      </c>
      <c r="C41" s="7" t="s">
        <v>55</v>
      </c>
      <c r="D41" s="7" t="s">
        <v>74</v>
      </c>
      <c r="E41" s="7"/>
    </row>
    <row r="42" customFormat="false" ht="15.75" hidden="false" customHeight="true" outlineLevel="0" collapsed="false">
      <c r="A42" s="5" t="s">
        <v>38</v>
      </c>
      <c r="B42" s="5" t="s">
        <v>97</v>
      </c>
      <c r="C42" s="7" t="s">
        <v>59</v>
      </c>
      <c r="D42" s="7" t="s">
        <v>56</v>
      </c>
      <c r="E42" s="7"/>
    </row>
    <row r="43" customFormat="false" ht="15.75" hidden="false" customHeight="true" outlineLevel="0" collapsed="false">
      <c r="A43" s="5" t="s">
        <v>41</v>
      </c>
      <c r="B43" s="5" t="s">
        <v>41</v>
      </c>
      <c r="C43" s="7" t="s">
        <v>59</v>
      </c>
      <c r="D43" s="7" t="s">
        <v>56</v>
      </c>
      <c r="E43" s="7"/>
    </row>
    <row r="44" customFormat="false" ht="15.75" hidden="false" customHeight="true" outlineLevel="0" collapsed="false"/>
    <row r="45" customFormat="false" ht="19.5" hidden="false" customHeight="true" outlineLevel="0" collapsed="false">
      <c r="A45" s="11" t="s">
        <v>98</v>
      </c>
      <c r="B45" s="11"/>
      <c r="C45" s="11"/>
      <c r="D45" s="11"/>
      <c r="E45" s="11"/>
    </row>
    <row r="46" customFormat="false" ht="15.75" hidden="false" customHeight="true" outlineLevel="0" collapsed="false">
      <c r="A46" s="12" t="s">
        <v>48</v>
      </c>
      <c r="B46" s="12" t="s">
        <v>49</v>
      </c>
      <c r="C46" s="12" t="s">
        <v>50</v>
      </c>
      <c r="D46" s="12" t="s">
        <v>51</v>
      </c>
      <c r="E46" s="12" t="s">
        <v>52</v>
      </c>
    </row>
    <row r="47" customFormat="false" ht="15.75" hidden="false" customHeight="true" outlineLevel="0" collapsed="false">
      <c r="A47" s="5" t="s">
        <v>99</v>
      </c>
      <c r="B47" s="5" t="s">
        <v>86</v>
      </c>
      <c r="C47" s="7" t="s">
        <v>55</v>
      </c>
      <c r="D47" s="7" t="s">
        <v>56</v>
      </c>
      <c r="E47" s="7"/>
    </row>
    <row r="48" customFormat="false" ht="15.75" hidden="false" customHeight="true" outlineLevel="0" collapsed="false">
      <c r="A48" s="5" t="s">
        <v>100</v>
      </c>
      <c r="B48" s="5" t="s">
        <v>101</v>
      </c>
      <c r="C48" s="7" t="s">
        <v>55</v>
      </c>
      <c r="D48" s="7" t="s">
        <v>56</v>
      </c>
      <c r="E48" s="7"/>
    </row>
    <row r="49" customFormat="false" ht="15.75" hidden="false" customHeight="true" outlineLevel="0" collapsed="false">
      <c r="A49" s="5" t="s">
        <v>102</v>
      </c>
      <c r="B49" s="5" t="s">
        <v>54</v>
      </c>
      <c r="C49" s="7" t="s">
        <v>55</v>
      </c>
      <c r="D49" s="7" t="s">
        <v>56</v>
      </c>
      <c r="E49" s="7"/>
    </row>
    <row r="50" customFormat="false" ht="15.75" hidden="false" customHeight="true" outlineLevel="0" collapsed="false">
      <c r="A50" s="5" t="s">
        <v>103</v>
      </c>
      <c r="B50" s="5" t="s">
        <v>30</v>
      </c>
      <c r="C50" s="7" t="s">
        <v>55</v>
      </c>
      <c r="D50" s="7" t="s">
        <v>74</v>
      </c>
      <c r="E50" s="7"/>
    </row>
    <row r="51" customFormat="false" ht="15.75" hidden="false" customHeight="true" outlineLevel="0" collapsed="false">
      <c r="A51" s="5" t="s">
        <v>104</v>
      </c>
      <c r="B51" s="5" t="s">
        <v>30</v>
      </c>
      <c r="C51" s="7" t="s">
        <v>82</v>
      </c>
      <c r="D51" s="7" t="s">
        <v>105</v>
      </c>
      <c r="E51" s="7" t="s">
        <v>106</v>
      </c>
    </row>
    <row r="52" customFormat="false" ht="15.75" hidden="false" customHeight="true" outlineLevel="0" collapsed="false">
      <c r="A52" s="5" t="s">
        <v>107</v>
      </c>
      <c r="B52" s="5" t="s">
        <v>28</v>
      </c>
      <c r="C52" s="7" t="s">
        <v>55</v>
      </c>
      <c r="D52" s="7" t="s">
        <v>56</v>
      </c>
      <c r="E52" s="7"/>
    </row>
    <row r="53" customFormat="false" ht="15.75" hidden="false" customHeight="true" outlineLevel="0" collapsed="false">
      <c r="A53" s="5" t="s">
        <v>108</v>
      </c>
      <c r="B53" s="5" t="s">
        <v>109</v>
      </c>
      <c r="C53" s="7" t="s">
        <v>55</v>
      </c>
      <c r="D53" s="7" t="s">
        <v>56</v>
      </c>
      <c r="E53" s="7"/>
    </row>
    <row r="54" customFormat="false" ht="15.75" hidden="false" customHeight="true" outlineLevel="0" collapsed="false"/>
    <row r="55" customFormat="false" ht="19.5" hidden="false" customHeight="true" outlineLevel="0" collapsed="false">
      <c r="A55" s="11" t="s">
        <v>110</v>
      </c>
      <c r="B55" s="11"/>
      <c r="C55" s="11"/>
      <c r="D55" s="11"/>
      <c r="E55" s="11"/>
    </row>
    <row r="56" customFormat="false" ht="15.75" hidden="false" customHeight="true" outlineLevel="0" collapsed="false">
      <c r="A56" s="12" t="s">
        <v>48</v>
      </c>
      <c r="B56" s="12" t="s">
        <v>49</v>
      </c>
      <c r="C56" s="12" t="s">
        <v>50</v>
      </c>
      <c r="D56" s="12" t="s">
        <v>51</v>
      </c>
      <c r="E56" s="12" t="s">
        <v>52</v>
      </c>
    </row>
    <row r="57" customFormat="false" ht="15.75" hidden="false" customHeight="true" outlineLevel="0" collapsed="false">
      <c r="A57" s="8" t="s">
        <v>60</v>
      </c>
      <c r="B57" s="8" t="s">
        <v>61</v>
      </c>
      <c r="C57" s="9" t="s">
        <v>62</v>
      </c>
      <c r="D57" s="9" t="s">
        <v>62</v>
      </c>
      <c r="E57" s="9" t="s">
        <v>63</v>
      </c>
    </row>
    <row r="58" customFormat="false" ht="15.75" hidden="false" customHeight="true" outlineLevel="0" collapsed="false">
      <c r="A58" s="8" t="s">
        <v>64</v>
      </c>
      <c r="B58" s="8" t="s">
        <v>61</v>
      </c>
      <c r="C58" s="9" t="s">
        <v>62</v>
      </c>
      <c r="D58" s="9" t="s">
        <v>62</v>
      </c>
      <c r="E58" s="9" t="s">
        <v>63</v>
      </c>
    </row>
    <row r="59" customFormat="false" ht="15.75" hidden="false" customHeight="true" outlineLevel="0" collapsed="false">
      <c r="A59" s="8" t="s">
        <v>70</v>
      </c>
      <c r="B59" s="8" t="s">
        <v>61</v>
      </c>
      <c r="C59" s="9" t="s">
        <v>71</v>
      </c>
      <c r="D59" s="9" t="s">
        <v>71</v>
      </c>
      <c r="E59" s="9" t="s">
        <v>63</v>
      </c>
    </row>
    <row r="60" customFormat="false" ht="15.75" hidden="false" customHeight="true" outlineLevel="0" collapsed="false">
      <c r="A60" s="5" t="s">
        <v>32</v>
      </c>
      <c r="B60" s="5" t="s">
        <v>32</v>
      </c>
      <c r="C60" s="7" t="s">
        <v>55</v>
      </c>
      <c r="D60" s="7" t="s">
        <v>56</v>
      </c>
      <c r="E60" s="7"/>
    </row>
    <row r="61" customFormat="false" ht="15.75" hidden="false" customHeight="true" outlineLevel="0" collapsed="false">
      <c r="A61" s="5" t="s">
        <v>111</v>
      </c>
      <c r="B61" s="5" t="s">
        <v>112</v>
      </c>
      <c r="C61" s="7" t="s">
        <v>112</v>
      </c>
      <c r="D61" s="7" t="s">
        <v>112</v>
      </c>
      <c r="E61" s="7"/>
    </row>
    <row r="62" customFormat="false" ht="15.75" hidden="false" customHeight="true" outlineLevel="0" collapsed="false">
      <c r="A62" s="13" t="s">
        <v>113</v>
      </c>
      <c r="B62" s="13"/>
      <c r="C62" s="13"/>
      <c r="D62" s="13"/>
      <c r="E62" s="13"/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1:E1"/>
    <mergeCell ref="A2:E2"/>
    <mergeCell ref="A4:E4"/>
    <mergeCell ref="A15:E15"/>
    <mergeCell ref="A24:E24"/>
    <mergeCell ref="A34:E34"/>
    <mergeCell ref="A45:E45"/>
    <mergeCell ref="A55:E55"/>
    <mergeCell ref="A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0625" defaultRowHeight="15" zeroHeight="false" outlineLevelRow="0" outlineLevelCol="0"/>
  <cols>
    <col collapsed="false" customWidth="true" hidden="false" outlineLevel="0" max="1" min="1" style="0" width="32.02"/>
    <col collapsed="false" customWidth="true" hidden="false" outlineLevel="0" max="3" min="2" style="0" width="18.03"/>
    <col collapsed="false" customWidth="true" hidden="false" outlineLevel="0" max="4" min="4" style="0" width="34.03"/>
    <col collapsed="false" customWidth="true" hidden="false" outlineLevel="0" max="6" min="5" style="0" width="8.74"/>
  </cols>
  <sheetData>
    <row r="1" customFormat="false" ht="24" hidden="false" customHeight="true" outlineLevel="0" collapsed="false">
      <c r="A1" s="1" t="s">
        <v>114</v>
      </c>
      <c r="B1" s="1"/>
      <c r="C1" s="1"/>
      <c r="D1" s="1"/>
    </row>
    <row r="2" customFormat="false" ht="15" hidden="false" customHeight="true" outlineLevel="0" collapsed="false">
      <c r="A2" s="10" t="s">
        <v>115</v>
      </c>
      <c r="B2" s="10"/>
      <c r="C2" s="10"/>
      <c r="D2" s="10"/>
    </row>
    <row r="3" customFormat="false" ht="15" hidden="false" customHeight="true" outlineLevel="0" collapsed="false"/>
    <row r="4" customFormat="false" ht="15" hidden="false" customHeight="true" outlineLevel="0" collapsed="false">
      <c r="A4" s="11" t="s">
        <v>116</v>
      </c>
      <c r="B4" s="11"/>
      <c r="C4" s="11"/>
      <c r="D4" s="11"/>
    </row>
    <row r="5" customFormat="false" ht="15" hidden="false" customHeight="true" outlineLevel="0" collapsed="false">
      <c r="A5" s="12" t="s">
        <v>48</v>
      </c>
      <c r="B5" s="12" t="s">
        <v>49</v>
      </c>
      <c r="C5" s="12" t="s">
        <v>117</v>
      </c>
      <c r="D5" s="12" t="s">
        <v>52</v>
      </c>
    </row>
    <row r="6" customFormat="false" ht="15" hidden="false" customHeight="true" outlineLevel="0" collapsed="false">
      <c r="A6" s="8" t="s">
        <v>60</v>
      </c>
      <c r="B6" s="8" t="s">
        <v>61</v>
      </c>
      <c r="C6" s="9" t="s">
        <v>62</v>
      </c>
    </row>
    <row r="7" customFormat="false" ht="15" hidden="false" customHeight="true" outlineLevel="0" collapsed="false">
      <c r="A7" s="8" t="s">
        <v>64</v>
      </c>
      <c r="B7" s="8" t="s">
        <v>61</v>
      </c>
      <c r="C7" s="9" t="s">
        <v>62</v>
      </c>
    </row>
    <row r="8" customFormat="false" ht="15" hidden="false" customHeight="true" outlineLevel="0" collapsed="false">
      <c r="A8" s="8" t="s">
        <v>65</v>
      </c>
      <c r="B8" s="8" t="s">
        <v>61</v>
      </c>
      <c r="C8" s="9" t="s">
        <v>66</v>
      </c>
    </row>
    <row r="9" customFormat="false" ht="15" hidden="false" customHeight="true" outlineLevel="0" collapsed="false">
      <c r="A9" s="8" t="s">
        <v>67</v>
      </c>
      <c r="B9" s="8" t="s">
        <v>61</v>
      </c>
      <c r="C9" s="9" t="s">
        <v>68</v>
      </c>
    </row>
    <row r="10" customFormat="false" ht="15" hidden="false" customHeight="true" outlineLevel="0" collapsed="false">
      <c r="A10" s="8" t="s">
        <v>70</v>
      </c>
      <c r="B10" s="8" t="s">
        <v>61</v>
      </c>
      <c r="C10" s="9" t="s">
        <v>71</v>
      </c>
    </row>
    <row r="11" customFormat="false" ht="15" hidden="false" customHeight="true" outlineLevel="0" collapsed="false">
      <c r="A11" s="5" t="s">
        <v>76</v>
      </c>
      <c r="B11" s="5" t="s">
        <v>23</v>
      </c>
      <c r="C11" s="7" t="s">
        <v>55</v>
      </c>
    </row>
    <row r="12" customFormat="false" ht="15" hidden="false" customHeight="true" outlineLevel="0" collapsed="false">
      <c r="A12" s="5" t="s">
        <v>118</v>
      </c>
      <c r="B12" s="5" t="s">
        <v>54</v>
      </c>
      <c r="C12" s="7" t="s">
        <v>55</v>
      </c>
    </row>
    <row r="13" customFormat="false" ht="15" hidden="false" customHeight="true" outlineLevel="0" collapsed="false">
      <c r="A13" s="5" t="s">
        <v>83</v>
      </c>
      <c r="B13" s="5" t="s">
        <v>30</v>
      </c>
      <c r="C13" s="7" t="s">
        <v>59</v>
      </c>
    </row>
    <row r="14" customFormat="false" ht="15" hidden="false" customHeight="true" outlineLevel="0" collapsed="false"/>
    <row r="15" customFormat="false" ht="15" hidden="false" customHeight="true" outlineLevel="0" collapsed="false">
      <c r="A15" s="11" t="s">
        <v>119</v>
      </c>
      <c r="B15" s="11"/>
      <c r="C15" s="11"/>
      <c r="D15" s="11"/>
    </row>
    <row r="16" customFormat="false" ht="15" hidden="false" customHeight="true" outlineLevel="0" collapsed="false">
      <c r="A16" s="12" t="s">
        <v>48</v>
      </c>
      <c r="B16" s="12" t="s">
        <v>49</v>
      </c>
      <c r="C16" s="12" t="s">
        <v>117</v>
      </c>
      <c r="D16" s="12" t="s">
        <v>52</v>
      </c>
    </row>
    <row r="17" customFormat="false" ht="15" hidden="false" customHeight="true" outlineLevel="0" collapsed="false">
      <c r="A17" s="8" t="s">
        <v>60</v>
      </c>
      <c r="B17" s="8" t="s">
        <v>61</v>
      </c>
      <c r="C17" s="9" t="s">
        <v>62</v>
      </c>
    </row>
    <row r="18" customFormat="false" ht="15" hidden="false" customHeight="true" outlineLevel="0" collapsed="false">
      <c r="A18" s="8" t="s">
        <v>64</v>
      </c>
      <c r="B18" s="8" t="s">
        <v>61</v>
      </c>
      <c r="C18" s="9" t="s">
        <v>62</v>
      </c>
    </row>
    <row r="19" customFormat="false" ht="15" hidden="false" customHeight="true" outlineLevel="0" collapsed="false">
      <c r="A19" s="8" t="s">
        <v>65</v>
      </c>
      <c r="B19" s="8" t="s">
        <v>61</v>
      </c>
      <c r="C19" s="9" t="s">
        <v>66</v>
      </c>
    </row>
    <row r="20" customFormat="false" ht="15" hidden="false" customHeight="true" outlineLevel="0" collapsed="false">
      <c r="A20" s="8" t="s">
        <v>67</v>
      </c>
      <c r="B20" s="8" t="s">
        <v>61</v>
      </c>
      <c r="C20" s="9" t="s">
        <v>68</v>
      </c>
    </row>
    <row r="21" customFormat="false" ht="15.75" hidden="false" customHeight="true" outlineLevel="0" collapsed="false">
      <c r="A21" s="8" t="s">
        <v>70</v>
      </c>
      <c r="B21" s="8" t="s">
        <v>61</v>
      </c>
      <c r="C21" s="9" t="s">
        <v>71</v>
      </c>
    </row>
    <row r="22" customFormat="false" ht="15.75" hidden="false" customHeight="true" outlineLevel="0" collapsed="false">
      <c r="A22" s="5" t="s">
        <v>85</v>
      </c>
      <c r="B22" s="5" t="s">
        <v>86</v>
      </c>
      <c r="C22" s="7" t="s">
        <v>55</v>
      </c>
    </row>
    <row r="23" customFormat="false" ht="15.75" hidden="false" customHeight="true" outlineLevel="0" collapsed="false">
      <c r="A23" s="5" t="s">
        <v>87</v>
      </c>
      <c r="B23" s="5" t="s">
        <v>86</v>
      </c>
      <c r="C23" s="7" t="s">
        <v>59</v>
      </c>
    </row>
    <row r="24" customFormat="false" ht="15.75" hidden="false" customHeight="true" outlineLevel="0" collapsed="false">
      <c r="A24" s="5" t="s">
        <v>95</v>
      </c>
      <c r="B24" s="5" t="s">
        <v>28</v>
      </c>
      <c r="C24" s="7" t="s">
        <v>55</v>
      </c>
    </row>
    <row r="25" customFormat="false" ht="15.75" hidden="false" customHeight="true" outlineLevel="0" collapsed="false"/>
    <row r="26" customFormat="false" ht="15.75" hidden="false" customHeight="true" outlineLevel="0" collapsed="false">
      <c r="A26" s="11" t="s">
        <v>120</v>
      </c>
      <c r="B26" s="11"/>
      <c r="C26" s="11"/>
      <c r="D26" s="11"/>
    </row>
    <row r="27" customFormat="false" ht="15.75" hidden="false" customHeight="true" outlineLevel="0" collapsed="false">
      <c r="A27" s="12" t="s">
        <v>48</v>
      </c>
      <c r="B27" s="12" t="s">
        <v>49</v>
      </c>
      <c r="C27" s="12" t="s">
        <v>117</v>
      </c>
      <c r="D27" s="12" t="s">
        <v>52</v>
      </c>
    </row>
    <row r="28" customFormat="false" ht="15.75" hidden="false" customHeight="true" outlineLevel="0" collapsed="false">
      <c r="A28" s="8" t="s">
        <v>60</v>
      </c>
      <c r="B28" s="8" t="s">
        <v>61</v>
      </c>
      <c r="C28" s="9" t="s">
        <v>62</v>
      </c>
    </row>
    <row r="29" customFormat="false" ht="15.75" hidden="false" customHeight="true" outlineLevel="0" collapsed="false">
      <c r="A29" s="8" t="s">
        <v>64</v>
      </c>
      <c r="B29" s="8" t="s">
        <v>61</v>
      </c>
      <c r="C29" s="9" t="s">
        <v>62</v>
      </c>
    </row>
    <row r="30" customFormat="false" ht="15.75" hidden="false" customHeight="true" outlineLevel="0" collapsed="false">
      <c r="A30" s="8" t="s">
        <v>70</v>
      </c>
      <c r="B30" s="8" t="s">
        <v>61</v>
      </c>
      <c r="C30" s="9" t="s">
        <v>71</v>
      </c>
    </row>
    <row r="31" customFormat="false" ht="15.75" hidden="false" customHeight="true" outlineLevel="0" collapsed="false">
      <c r="A31" s="5" t="s">
        <v>100</v>
      </c>
      <c r="B31" s="5" t="s">
        <v>101</v>
      </c>
      <c r="C31" s="7" t="s">
        <v>59</v>
      </c>
    </row>
    <row r="32" customFormat="false" ht="15.75" hidden="false" customHeight="true" outlineLevel="0" collapsed="false">
      <c r="A32" s="5" t="s">
        <v>88</v>
      </c>
      <c r="B32" s="5" t="s">
        <v>86</v>
      </c>
      <c r="C32" s="7" t="s">
        <v>59</v>
      </c>
    </row>
    <row r="33" customFormat="false" ht="15.75" hidden="false" customHeight="true" outlineLevel="0" collapsed="false">
      <c r="A33" s="5" t="s">
        <v>118</v>
      </c>
      <c r="B33" s="5" t="s">
        <v>54</v>
      </c>
      <c r="C33" s="7" t="s">
        <v>59</v>
      </c>
    </row>
    <row r="34" customFormat="false" ht="15.75" hidden="false" customHeight="true" outlineLevel="0" collapsed="false">
      <c r="A34" s="5" t="s">
        <v>72</v>
      </c>
      <c r="B34" s="5" t="s">
        <v>72</v>
      </c>
      <c r="C34" s="7" t="s">
        <v>55</v>
      </c>
    </row>
    <row r="35" customFormat="false" ht="15.75" hidden="false" customHeight="true" outlineLevel="0" collapsed="false">
      <c r="A35" s="5" t="s">
        <v>32</v>
      </c>
      <c r="B35" s="5" t="s">
        <v>32</v>
      </c>
      <c r="C35" s="7" t="s">
        <v>55</v>
      </c>
    </row>
    <row r="36" customFormat="false" ht="15.75" hidden="false" customHeight="true" outlineLevel="0" collapsed="false">
      <c r="A36" s="13" t="s">
        <v>121</v>
      </c>
      <c r="B36" s="13"/>
      <c r="C36" s="13"/>
      <c r="D36" s="13"/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>
      <c r="A39" s="3" t="s">
        <v>122</v>
      </c>
      <c r="B39" s="3"/>
      <c r="C39" s="3"/>
      <c r="D39" s="3"/>
    </row>
    <row r="40" customFormat="false" ht="15.75" hidden="false" customHeight="true" outlineLevel="0" collapsed="false">
      <c r="A40" s="5" t="s">
        <v>123</v>
      </c>
      <c r="B40" s="5"/>
      <c r="C40" s="5"/>
      <c r="D40" s="5"/>
    </row>
    <row r="41" customFormat="false" ht="15.75" hidden="false" customHeight="true" outlineLevel="0" collapsed="false">
      <c r="A41" s="5" t="s">
        <v>124</v>
      </c>
      <c r="B41" s="5"/>
      <c r="C41" s="5"/>
      <c r="D41" s="5"/>
    </row>
    <row r="42" customFormat="false" ht="15.75" hidden="false" customHeight="true" outlineLevel="0" collapsed="false">
      <c r="A42" s="5" t="s">
        <v>125</v>
      </c>
      <c r="B42" s="5"/>
      <c r="C42" s="5"/>
      <c r="D42" s="5"/>
    </row>
    <row r="43" customFormat="false" ht="15.75" hidden="false" customHeight="true" outlineLevel="0" collapsed="false">
      <c r="A43" s="5" t="s">
        <v>126</v>
      </c>
      <c r="B43" s="5"/>
      <c r="C43" s="5"/>
      <c r="D43" s="5"/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1">
    <mergeCell ref="A1:D1"/>
    <mergeCell ref="A2:D2"/>
    <mergeCell ref="A4:D4"/>
    <mergeCell ref="A15:D15"/>
    <mergeCell ref="A26:D26"/>
    <mergeCell ref="A36:D36"/>
    <mergeCell ref="A39:D39"/>
    <mergeCell ref="A40:D40"/>
    <mergeCell ref="A41:D41"/>
    <mergeCell ref="A42:D42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4"/>
  <sheetViews>
    <sheetView showFormulas="false" showGridLines="false" showRowColHeaders="true" showZeros="true" rightToLeft="false" tabSelected="true" showOutlineSymbols="true" defaultGridColor="true" view="normal" topLeftCell="A33" colorId="64" zoomScale="100" zoomScaleNormal="100" zoomScalePageLayoutView="100" workbookViewId="0">
      <selection pane="topLeft" activeCell="A41" activeCellId="0" sqref="A41"/>
    </sheetView>
  </sheetViews>
  <sheetFormatPr defaultColWidth="14.390625" defaultRowHeight="15" zeroHeight="false" outlineLevelRow="0" outlineLevelCol="0"/>
  <cols>
    <col collapsed="false" customWidth="true" hidden="false" outlineLevel="0" max="1" min="1" style="0" width="36.05"/>
    <col collapsed="false" customWidth="true" hidden="false" outlineLevel="0" max="2" min="2" style="0" width="16.01"/>
    <col collapsed="false" customWidth="true" hidden="false" outlineLevel="0" max="10" min="3" style="0" width="13.04"/>
    <col collapsed="false" customWidth="true" hidden="false" outlineLevel="0" max="11" min="11" style="0" width="94.97"/>
  </cols>
  <sheetData>
    <row r="1" customFormat="false" ht="24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51.75" hidden="false" customHeight="true" outlineLevel="0" collapsed="false">
      <c r="A2" s="10" t="s">
        <v>128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customFormat="false" ht="15" hidden="false" customHeight="true" outlineLevel="0" collapsed="false">
      <c r="A3" s="5"/>
      <c r="B3" s="5"/>
      <c r="C3" s="7"/>
      <c r="D3" s="7"/>
      <c r="E3" s="7"/>
      <c r="F3" s="7"/>
      <c r="G3" s="7"/>
      <c r="H3" s="7"/>
      <c r="I3" s="7"/>
      <c r="J3" s="7"/>
      <c r="K3" s="7"/>
    </row>
    <row r="4" customFormat="false" ht="19.5" hidden="false" customHeight="true" outlineLevel="0" collapsed="false">
      <c r="A4" s="14" t="s">
        <v>129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customFormat="false" ht="27" hidden="false" customHeight="true" outlineLevel="0" collapsed="false">
      <c r="A5" s="12" t="s">
        <v>48</v>
      </c>
      <c r="B5" s="12" t="s">
        <v>49</v>
      </c>
      <c r="C5" s="12" t="s">
        <v>50</v>
      </c>
      <c r="D5" s="12" t="s">
        <v>51</v>
      </c>
      <c r="E5" s="12" t="s">
        <v>130</v>
      </c>
      <c r="F5" s="12" t="s">
        <v>131</v>
      </c>
      <c r="G5" s="12" t="s">
        <v>132</v>
      </c>
      <c r="H5" s="12" t="s">
        <v>133</v>
      </c>
      <c r="I5" s="12" t="s">
        <v>134</v>
      </c>
      <c r="J5" s="12" t="s">
        <v>135</v>
      </c>
      <c r="K5" s="12" t="s">
        <v>52</v>
      </c>
    </row>
    <row r="6" customFormat="false" ht="15.75" hidden="false" customHeight="true" outlineLevel="0" collapsed="false">
      <c r="A6" s="5" t="s">
        <v>136</v>
      </c>
      <c r="B6" s="5" t="s">
        <v>54</v>
      </c>
      <c r="C6" s="7" t="s">
        <v>137</v>
      </c>
      <c r="D6" s="7" t="s">
        <v>137</v>
      </c>
      <c r="E6" s="7" t="s">
        <v>137</v>
      </c>
      <c r="F6" s="7" t="s">
        <v>137</v>
      </c>
      <c r="G6" s="7" t="s">
        <v>137</v>
      </c>
      <c r="H6" s="7" t="s">
        <v>137</v>
      </c>
      <c r="I6" s="7" t="s">
        <v>137</v>
      </c>
      <c r="J6" s="7" t="s">
        <v>138</v>
      </c>
      <c r="K6" s="8" t="s">
        <v>139</v>
      </c>
    </row>
    <row r="7" customFormat="false" ht="43.5" hidden="false" customHeight="true" outlineLevel="0" collapsed="false">
      <c r="A7" s="8" t="s">
        <v>140</v>
      </c>
      <c r="B7" s="8" t="s">
        <v>141</v>
      </c>
      <c r="C7" s="9" t="s">
        <v>62</v>
      </c>
      <c r="D7" s="9" t="s">
        <v>142</v>
      </c>
      <c r="E7" s="9" t="s">
        <v>142</v>
      </c>
      <c r="F7" s="9" t="s">
        <v>142</v>
      </c>
      <c r="G7" s="9" t="s">
        <v>142</v>
      </c>
      <c r="H7" s="9" t="s">
        <v>142</v>
      </c>
      <c r="I7" s="9" t="s">
        <v>142</v>
      </c>
      <c r="J7" s="9" t="s">
        <v>142</v>
      </c>
      <c r="K7" s="8" t="s">
        <v>143</v>
      </c>
    </row>
    <row r="8" customFormat="false" ht="15.75" hidden="false" customHeight="true" outlineLevel="0" collapsed="false">
      <c r="A8" s="5" t="s">
        <v>144</v>
      </c>
      <c r="B8" s="5" t="s">
        <v>54</v>
      </c>
      <c r="C8" s="7" t="s">
        <v>105</v>
      </c>
      <c r="D8" s="7" t="s">
        <v>105</v>
      </c>
      <c r="E8" s="7" t="s">
        <v>105</v>
      </c>
      <c r="F8" s="7" t="s">
        <v>105</v>
      </c>
      <c r="G8" s="7" t="s">
        <v>137</v>
      </c>
      <c r="H8" s="7" t="s">
        <v>137</v>
      </c>
      <c r="I8" s="7" t="s">
        <v>137</v>
      </c>
      <c r="J8" s="7" t="s">
        <v>137</v>
      </c>
      <c r="K8" s="8" t="s">
        <v>145</v>
      </c>
    </row>
    <row r="9" customFormat="false" ht="43.5" hidden="false" customHeight="true" outlineLevel="0" collapsed="false">
      <c r="A9" s="8" t="s">
        <v>64</v>
      </c>
      <c r="B9" s="8" t="s">
        <v>61</v>
      </c>
      <c r="C9" s="9" t="s">
        <v>62</v>
      </c>
      <c r="D9" s="9" t="s">
        <v>146</v>
      </c>
      <c r="E9" s="9" t="s">
        <v>146</v>
      </c>
      <c r="F9" s="9" t="s">
        <v>146</v>
      </c>
      <c r="G9" s="9" t="s">
        <v>146</v>
      </c>
      <c r="H9" s="9" t="s">
        <v>146</v>
      </c>
      <c r="I9" s="9" t="s">
        <v>146</v>
      </c>
      <c r="J9" s="9" t="s">
        <v>147</v>
      </c>
      <c r="K9" s="9" t="s">
        <v>148</v>
      </c>
    </row>
    <row r="10" customFormat="false" ht="68.25" hidden="false" customHeight="true" outlineLevel="0" collapsed="false">
      <c r="A10" s="8" t="s">
        <v>149</v>
      </c>
      <c r="B10" s="8" t="s">
        <v>61</v>
      </c>
      <c r="C10" s="9" t="s">
        <v>71</v>
      </c>
      <c r="D10" s="9" t="s">
        <v>150</v>
      </c>
      <c r="E10" s="9" t="s">
        <v>151</v>
      </c>
      <c r="F10" s="9" t="s">
        <v>151</v>
      </c>
      <c r="G10" s="9" t="s">
        <v>152</v>
      </c>
      <c r="H10" s="9" t="s">
        <v>153</v>
      </c>
      <c r="I10" s="9" t="s">
        <v>153</v>
      </c>
      <c r="J10" s="9" t="s">
        <v>154</v>
      </c>
      <c r="K10" s="8" t="s">
        <v>155</v>
      </c>
    </row>
    <row r="11" customFormat="false" ht="15.75" hidden="false" customHeight="true" outlineLevel="0" collapsed="false">
      <c r="A11" s="5" t="s">
        <v>156</v>
      </c>
      <c r="B11" s="5" t="s">
        <v>41</v>
      </c>
      <c r="C11" s="7" t="s">
        <v>138</v>
      </c>
      <c r="D11" s="7" t="s">
        <v>138</v>
      </c>
      <c r="E11" s="7" t="s">
        <v>157</v>
      </c>
      <c r="F11" s="7" t="s">
        <v>157</v>
      </c>
      <c r="G11" s="7" t="s">
        <v>157</v>
      </c>
      <c r="H11" s="7" t="s">
        <v>157</v>
      </c>
      <c r="I11" s="7" t="s">
        <v>158</v>
      </c>
      <c r="J11" s="7" t="s">
        <v>158</v>
      </c>
      <c r="K11" s="8" t="s">
        <v>159</v>
      </c>
    </row>
    <row r="12" customFormat="false" ht="15" hidden="false" customHeight="true" outlineLevel="0" collapsed="false">
      <c r="A12" s="5" t="s">
        <v>160</v>
      </c>
      <c r="B12" s="5" t="s">
        <v>72</v>
      </c>
      <c r="C12" s="7" t="s">
        <v>137</v>
      </c>
      <c r="D12" s="7" t="s">
        <v>137</v>
      </c>
      <c r="E12" s="7" t="s">
        <v>137</v>
      </c>
      <c r="F12" s="7" t="s">
        <v>138</v>
      </c>
      <c r="G12" s="7" t="s">
        <v>138</v>
      </c>
      <c r="H12" s="7" t="s">
        <v>138</v>
      </c>
      <c r="I12" s="7" t="s">
        <v>138</v>
      </c>
      <c r="J12" s="7" t="s">
        <v>157</v>
      </c>
      <c r="K12" s="8" t="s">
        <v>161</v>
      </c>
    </row>
    <row r="13" customFormat="false" ht="15" hidden="false" customHeight="true" outlineLevel="0" collapsed="false"/>
    <row r="14" customFormat="false" ht="19.5" hidden="false" customHeight="true" outlineLevel="0" collapsed="false">
      <c r="A14" s="11" t="s">
        <v>75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customFormat="false" ht="27" hidden="false" customHeight="true" outlineLevel="0" collapsed="false">
      <c r="A15" s="12" t="s">
        <v>48</v>
      </c>
      <c r="B15" s="12" t="s">
        <v>49</v>
      </c>
      <c r="C15" s="12" t="s">
        <v>50</v>
      </c>
      <c r="D15" s="12" t="s">
        <v>51</v>
      </c>
      <c r="E15" s="12" t="s">
        <v>130</v>
      </c>
      <c r="F15" s="12" t="s">
        <v>131</v>
      </c>
      <c r="G15" s="12" t="s">
        <v>132</v>
      </c>
      <c r="H15" s="12" t="s">
        <v>133</v>
      </c>
      <c r="I15" s="12" t="s">
        <v>134</v>
      </c>
      <c r="J15" s="12" t="s">
        <v>135</v>
      </c>
      <c r="K15" s="12" t="s">
        <v>52</v>
      </c>
    </row>
    <row r="16" customFormat="false" ht="15" hidden="false" customHeight="true" outlineLevel="0" collapsed="false">
      <c r="A16" s="5" t="s">
        <v>162</v>
      </c>
      <c r="B16" s="5" t="s">
        <v>23</v>
      </c>
      <c r="C16" s="7" t="s">
        <v>137</v>
      </c>
      <c r="D16" s="7" t="s">
        <v>138</v>
      </c>
      <c r="E16" s="7" t="s">
        <v>138</v>
      </c>
      <c r="F16" s="7" t="s">
        <v>138</v>
      </c>
      <c r="G16" s="7" t="s">
        <v>138</v>
      </c>
      <c r="H16" s="7" t="s">
        <v>138</v>
      </c>
      <c r="I16" s="7" t="s">
        <v>138</v>
      </c>
      <c r="J16" s="7" t="s">
        <v>157</v>
      </c>
      <c r="K16" s="8" t="s">
        <v>163</v>
      </c>
    </row>
    <row r="17" customFormat="false" ht="15.75" hidden="false" customHeight="true" outlineLevel="0" collapsed="false">
      <c r="A17" s="5" t="s">
        <v>164</v>
      </c>
      <c r="B17" s="5" t="s">
        <v>30</v>
      </c>
      <c r="C17" s="7" t="s">
        <v>137</v>
      </c>
      <c r="D17" s="7" t="s">
        <v>137</v>
      </c>
      <c r="E17" s="7" t="s">
        <v>137</v>
      </c>
      <c r="F17" s="7" t="s">
        <v>137</v>
      </c>
      <c r="G17" s="7" t="s">
        <v>138</v>
      </c>
      <c r="H17" s="7" t="s">
        <v>138</v>
      </c>
      <c r="I17" s="7" t="s">
        <v>138</v>
      </c>
      <c r="J17" s="7" t="s">
        <v>138</v>
      </c>
      <c r="K17" s="8" t="s">
        <v>165</v>
      </c>
    </row>
    <row r="18" customFormat="false" ht="15.75" hidden="false" customHeight="true" outlineLevel="0" collapsed="false">
      <c r="A18" s="5" t="s">
        <v>166</v>
      </c>
      <c r="B18" s="5" t="s">
        <v>23</v>
      </c>
      <c r="C18" s="7" t="s">
        <v>137</v>
      </c>
      <c r="D18" s="7" t="s">
        <v>137</v>
      </c>
      <c r="E18" s="7" t="s">
        <v>137</v>
      </c>
      <c r="F18" s="7" t="s">
        <v>138</v>
      </c>
      <c r="G18" s="7" t="s">
        <v>138</v>
      </c>
      <c r="H18" s="7" t="s">
        <v>138</v>
      </c>
      <c r="I18" s="7" t="s">
        <v>138</v>
      </c>
      <c r="J18" s="7" t="s">
        <v>138</v>
      </c>
      <c r="K18" s="8" t="s">
        <v>167</v>
      </c>
    </row>
    <row r="19" customFormat="false" ht="15.75" hidden="false" customHeight="true" outlineLevel="0" collapsed="false">
      <c r="A19" s="5" t="s">
        <v>168</v>
      </c>
      <c r="B19" s="5" t="s">
        <v>30</v>
      </c>
      <c r="C19" s="7" t="s">
        <v>105</v>
      </c>
      <c r="D19" s="7" t="s">
        <v>105</v>
      </c>
      <c r="E19" s="7" t="s">
        <v>137</v>
      </c>
      <c r="F19" s="7" t="s">
        <v>137</v>
      </c>
      <c r="G19" s="7" t="s">
        <v>137</v>
      </c>
      <c r="H19" s="7" t="s">
        <v>137</v>
      </c>
      <c r="I19" s="7" t="s">
        <v>137</v>
      </c>
      <c r="J19" s="7" t="s">
        <v>138</v>
      </c>
      <c r="K19" s="8" t="s">
        <v>169</v>
      </c>
    </row>
    <row r="20" customFormat="false" ht="15.75" hidden="false" customHeight="true" outlineLevel="0" collapsed="false">
      <c r="A20" s="5" t="s">
        <v>170</v>
      </c>
      <c r="B20" s="5" t="s">
        <v>32</v>
      </c>
      <c r="C20" s="7" t="s">
        <v>138</v>
      </c>
      <c r="D20" s="7" t="s">
        <v>138</v>
      </c>
      <c r="E20" s="7" t="s">
        <v>138</v>
      </c>
      <c r="F20" s="7" t="s">
        <v>138</v>
      </c>
      <c r="G20" s="7" t="s">
        <v>157</v>
      </c>
      <c r="H20" s="7" t="s">
        <v>157</v>
      </c>
      <c r="I20" s="7" t="s">
        <v>157</v>
      </c>
      <c r="J20" s="7" t="s">
        <v>158</v>
      </c>
      <c r="K20" s="8" t="s">
        <v>171</v>
      </c>
    </row>
    <row r="21" customFormat="false" ht="15.75" hidden="false" customHeight="true" outlineLevel="0" collapsed="false">
      <c r="A21" s="5"/>
      <c r="B21" s="5"/>
      <c r="C21" s="7"/>
      <c r="D21" s="7"/>
      <c r="E21" s="7"/>
      <c r="F21" s="7"/>
      <c r="G21" s="7"/>
      <c r="H21" s="7"/>
      <c r="I21" s="7"/>
      <c r="J21" s="7"/>
      <c r="K21" s="7"/>
    </row>
    <row r="22" customFormat="false" ht="15.75" hidden="false" customHeight="true" outlineLevel="0" collapsed="false">
      <c r="A22" s="15"/>
      <c r="B22" s="15"/>
      <c r="C22" s="16"/>
      <c r="D22" s="16"/>
      <c r="E22" s="16"/>
      <c r="F22" s="16"/>
      <c r="G22" s="16"/>
      <c r="H22" s="16"/>
      <c r="I22" s="16"/>
      <c r="J22" s="16"/>
      <c r="K22" s="16"/>
    </row>
    <row r="23" customFormat="false" ht="15.75" hidden="false" customHeight="true" outlineLevel="0" collapsed="false">
      <c r="A23" s="11" t="s">
        <v>172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customFormat="false" ht="27" hidden="false" customHeight="true" outlineLevel="0" collapsed="false">
      <c r="A24" s="12" t="s">
        <v>48</v>
      </c>
      <c r="B24" s="12" t="s">
        <v>49</v>
      </c>
      <c r="C24" s="12" t="s">
        <v>50</v>
      </c>
      <c r="D24" s="12" t="s">
        <v>51</v>
      </c>
      <c r="E24" s="12" t="s">
        <v>130</v>
      </c>
      <c r="F24" s="12" t="s">
        <v>131</v>
      </c>
      <c r="G24" s="12" t="s">
        <v>132</v>
      </c>
      <c r="H24" s="12" t="s">
        <v>133</v>
      </c>
      <c r="I24" s="12" t="s">
        <v>134</v>
      </c>
      <c r="J24" s="12" t="s">
        <v>135</v>
      </c>
      <c r="K24" s="12" t="s">
        <v>52</v>
      </c>
    </row>
    <row r="25" customFormat="false" ht="15.75" hidden="false" customHeight="true" outlineLevel="0" collapsed="false">
      <c r="A25" s="5" t="s">
        <v>173</v>
      </c>
      <c r="B25" s="5" t="s">
        <v>86</v>
      </c>
      <c r="C25" s="7" t="s">
        <v>137</v>
      </c>
      <c r="D25" s="7" t="s">
        <v>137</v>
      </c>
      <c r="E25" s="7" t="s">
        <v>137</v>
      </c>
      <c r="F25" s="7" t="s">
        <v>138</v>
      </c>
      <c r="G25" s="7" t="s">
        <v>138</v>
      </c>
      <c r="H25" s="7" t="s">
        <v>138</v>
      </c>
      <c r="I25" s="7" t="s">
        <v>138</v>
      </c>
      <c r="J25" s="7" t="s">
        <v>138</v>
      </c>
      <c r="K25" s="8" t="s">
        <v>174</v>
      </c>
    </row>
    <row r="26" customFormat="false" ht="15.75" hidden="false" customHeight="true" outlineLevel="0" collapsed="false">
      <c r="A26" s="5" t="s">
        <v>175</v>
      </c>
      <c r="B26" s="5" t="s">
        <v>86</v>
      </c>
      <c r="C26" s="7" t="s">
        <v>137</v>
      </c>
      <c r="D26" s="7" t="s">
        <v>137</v>
      </c>
      <c r="E26" s="7" t="s">
        <v>137</v>
      </c>
      <c r="F26" s="7" t="s">
        <v>137</v>
      </c>
      <c r="G26" s="7" t="s">
        <v>137</v>
      </c>
      <c r="H26" s="7" t="s">
        <v>137</v>
      </c>
      <c r="I26" s="7" t="s">
        <v>137</v>
      </c>
      <c r="J26" s="7" t="s">
        <v>138</v>
      </c>
      <c r="K26" s="8" t="s">
        <v>176</v>
      </c>
    </row>
    <row r="27" customFormat="false" ht="15.75" hidden="false" customHeight="true" outlineLevel="0" collapsed="false">
      <c r="A27" s="5" t="s">
        <v>177</v>
      </c>
      <c r="B27" s="5" t="s">
        <v>54</v>
      </c>
      <c r="C27" s="7" t="s">
        <v>105</v>
      </c>
      <c r="D27" s="7" t="s">
        <v>105</v>
      </c>
      <c r="E27" s="7" t="s">
        <v>137</v>
      </c>
      <c r="F27" s="7" t="s">
        <v>137</v>
      </c>
      <c r="G27" s="7" t="s">
        <v>137</v>
      </c>
      <c r="H27" s="7" t="s">
        <v>137</v>
      </c>
      <c r="I27" s="7" t="s">
        <v>138</v>
      </c>
      <c r="J27" s="7" t="s">
        <v>138</v>
      </c>
      <c r="K27" s="8" t="s">
        <v>178</v>
      </c>
    </row>
    <row r="28" customFormat="false" ht="15.75" hidden="false" customHeight="true" outlineLevel="0" collapsed="false">
      <c r="A28" s="5" t="s">
        <v>179</v>
      </c>
      <c r="B28" s="5" t="s">
        <v>86</v>
      </c>
      <c r="C28" s="7" t="s">
        <v>105</v>
      </c>
      <c r="D28" s="7" t="s">
        <v>137</v>
      </c>
      <c r="E28" s="7" t="s">
        <v>137</v>
      </c>
      <c r="F28" s="7" t="s">
        <v>137</v>
      </c>
      <c r="G28" s="7" t="s">
        <v>137</v>
      </c>
      <c r="H28" s="7" t="s">
        <v>137</v>
      </c>
      <c r="I28" s="7" t="s">
        <v>137</v>
      </c>
      <c r="J28" s="7" t="s">
        <v>137</v>
      </c>
      <c r="K28" s="8" t="s">
        <v>180</v>
      </c>
    </row>
    <row r="29" customFormat="false" ht="15.75" hidden="false" customHeight="true" outlineLevel="0" collapsed="false">
      <c r="A29" s="5" t="s">
        <v>181</v>
      </c>
      <c r="B29" s="5" t="s">
        <v>28</v>
      </c>
      <c r="C29" s="7" t="s">
        <v>137</v>
      </c>
      <c r="D29" s="7" t="s">
        <v>138</v>
      </c>
      <c r="E29" s="7" t="s">
        <v>138</v>
      </c>
      <c r="F29" s="7" t="s">
        <v>138</v>
      </c>
      <c r="G29" s="7" t="s">
        <v>138</v>
      </c>
      <c r="H29" s="7" t="s">
        <v>138</v>
      </c>
      <c r="I29" s="7" t="s">
        <v>138</v>
      </c>
      <c r="J29" s="7" t="s">
        <v>138</v>
      </c>
      <c r="K29" s="8" t="s">
        <v>182</v>
      </c>
    </row>
    <row r="30" customFormat="false" ht="15.75" hidden="false" customHeight="true" outlineLevel="0" collapsed="false">
      <c r="A30" s="5" t="s">
        <v>183</v>
      </c>
      <c r="B30" s="5" t="s">
        <v>184</v>
      </c>
      <c r="C30" s="7" t="s">
        <v>105</v>
      </c>
      <c r="D30" s="7" t="s">
        <v>105</v>
      </c>
      <c r="E30" s="7" t="s">
        <v>137</v>
      </c>
      <c r="F30" s="7" t="s">
        <v>137</v>
      </c>
      <c r="G30" s="7" t="s">
        <v>137</v>
      </c>
      <c r="H30" s="7" t="s">
        <v>138</v>
      </c>
      <c r="I30" s="7" t="s">
        <v>138</v>
      </c>
      <c r="J30" s="7" t="s">
        <v>138</v>
      </c>
      <c r="K30" s="8" t="s">
        <v>185</v>
      </c>
    </row>
    <row r="31" customFormat="false" ht="15" hidden="false" customHeight="true" outlineLevel="0" collapsed="false">
      <c r="A31" s="5" t="s">
        <v>186</v>
      </c>
      <c r="B31" s="5" t="s">
        <v>28</v>
      </c>
      <c r="C31" s="7" t="s">
        <v>137</v>
      </c>
      <c r="D31" s="7" t="s">
        <v>137</v>
      </c>
      <c r="E31" s="7" t="s">
        <v>137</v>
      </c>
      <c r="F31" s="7" t="s">
        <v>137</v>
      </c>
      <c r="G31" s="7" t="s">
        <v>137</v>
      </c>
      <c r="H31" s="7" t="s">
        <v>138</v>
      </c>
      <c r="I31" s="7" t="s">
        <v>138</v>
      </c>
      <c r="J31" s="7" t="s">
        <v>157</v>
      </c>
      <c r="K31" s="8" t="s">
        <v>187</v>
      </c>
    </row>
    <row r="32" customFormat="false" ht="15.75" hidden="false" customHeight="true" outlineLevel="0" collapsed="false"/>
    <row r="33" customFormat="false" ht="19.5" hidden="false" customHeight="true" outlineLevel="0" collapsed="false">
      <c r="A33" s="11" t="s">
        <v>188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customFormat="false" ht="27" hidden="false" customHeight="true" outlineLevel="0" collapsed="false">
      <c r="A34" s="12" t="s">
        <v>48</v>
      </c>
      <c r="B34" s="12" t="s">
        <v>49</v>
      </c>
      <c r="C34" s="12" t="s">
        <v>50</v>
      </c>
      <c r="D34" s="12" t="s">
        <v>51</v>
      </c>
      <c r="E34" s="12" t="s">
        <v>130</v>
      </c>
      <c r="F34" s="12" t="s">
        <v>131</v>
      </c>
      <c r="G34" s="12" t="s">
        <v>132</v>
      </c>
      <c r="H34" s="12" t="s">
        <v>133</v>
      </c>
      <c r="I34" s="12" t="s">
        <v>134</v>
      </c>
      <c r="J34" s="12" t="s">
        <v>135</v>
      </c>
      <c r="K34" s="12" t="s">
        <v>52</v>
      </c>
    </row>
    <row r="35" customFormat="false" ht="81" hidden="false" customHeight="true" outlineLevel="0" collapsed="false">
      <c r="A35" s="17" t="s">
        <v>189</v>
      </c>
      <c r="B35" s="17" t="s">
        <v>190</v>
      </c>
      <c r="C35" s="18" t="s">
        <v>191</v>
      </c>
      <c r="D35" s="18" t="s">
        <v>192</v>
      </c>
      <c r="E35" s="18" t="s">
        <v>191</v>
      </c>
      <c r="F35" s="18" t="s">
        <v>191</v>
      </c>
      <c r="G35" s="18" t="s">
        <v>192</v>
      </c>
      <c r="H35" s="18" t="s">
        <v>191</v>
      </c>
      <c r="I35" s="18" t="s">
        <v>192</v>
      </c>
      <c r="J35" s="18" t="s">
        <v>193</v>
      </c>
      <c r="K35" s="17" t="s">
        <v>194</v>
      </c>
    </row>
    <row r="36" customFormat="false" ht="43.5" hidden="false" customHeight="true" outlineLevel="0" collapsed="false">
      <c r="A36" s="8" t="s">
        <v>195</v>
      </c>
      <c r="B36" s="8" t="s">
        <v>61</v>
      </c>
      <c r="C36" s="9" t="s">
        <v>68</v>
      </c>
      <c r="D36" s="9" t="s">
        <v>196</v>
      </c>
      <c r="E36" s="9" t="s">
        <v>197</v>
      </c>
      <c r="F36" s="9" t="s">
        <v>197</v>
      </c>
      <c r="G36" s="9" t="s">
        <v>198</v>
      </c>
      <c r="H36" s="9" t="s">
        <v>199</v>
      </c>
      <c r="I36" s="9" t="s">
        <v>199</v>
      </c>
      <c r="J36" s="9" t="s">
        <v>200</v>
      </c>
      <c r="K36" s="8" t="s">
        <v>201</v>
      </c>
    </row>
    <row r="37" customFormat="false" ht="30.75" hidden="false" customHeight="true" outlineLevel="0" collapsed="false">
      <c r="A37" s="8" t="s">
        <v>70</v>
      </c>
      <c r="B37" s="8" t="s">
        <v>61</v>
      </c>
      <c r="C37" s="9" t="s">
        <v>71</v>
      </c>
      <c r="D37" s="9" t="s">
        <v>202</v>
      </c>
      <c r="E37" s="9" t="s">
        <v>202</v>
      </c>
      <c r="F37" s="9" t="s">
        <v>202</v>
      </c>
      <c r="G37" s="9" t="s">
        <v>203</v>
      </c>
      <c r="H37" s="9" t="s">
        <v>203</v>
      </c>
      <c r="I37" s="9" t="s">
        <v>203</v>
      </c>
      <c r="J37" s="9" t="s">
        <v>154</v>
      </c>
      <c r="K37" s="8" t="s">
        <v>204</v>
      </c>
    </row>
    <row r="38" customFormat="false" ht="30.75" hidden="false" customHeight="true" outlineLevel="0" collapsed="false">
      <c r="A38" s="8" t="s">
        <v>140</v>
      </c>
      <c r="B38" s="8" t="s">
        <v>141</v>
      </c>
      <c r="C38" s="9" t="s">
        <v>62</v>
      </c>
      <c r="D38" s="9" t="s">
        <v>142</v>
      </c>
      <c r="E38" s="9" t="s">
        <v>142</v>
      </c>
      <c r="F38" s="9" t="s">
        <v>142</v>
      </c>
      <c r="G38" s="9" t="s">
        <v>142</v>
      </c>
      <c r="H38" s="9" t="s">
        <v>142</v>
      </c>
      <c r="I38" s="9" t="s">
        <v>142</v>
      </c>
      <c r="J38" s="9" t="s">
        <v>142</v>
      </c>
      <c r="K38" s="8" t="s">
        <v>205</v>
      </c>
    </row>
    <row r="39" customFormat="false" ht="18" hidden="false" customHeight="true" outlineLevel="0" collapsed="false">
      <c r="A39" s="8" t="s">
        <v>64</v>
      </c>
      <c r="B39" s="8" t="s">
        <v>61</v>
      </c>
      <c r="C39" s="9" t="s">
        <v>62</v>
      </c>
      <c r="D39" s="9" t="s">
        <v>191</v>
      </c>
      <c r="E39" s="9" t="s">
        <v>191</v>
      </c>
      <c r="F39" s="9" t="s">
        <v>191</v>
      </c>
      <c r="G39" s="9" t="s">
        <v>191</v>
      </c>
      <c r="H39" s="9" t="s">
        <v>191</v>
      </c>
      <c r="I39" s="9" t="s">
        <v>191</v>
      </c>
      <c r="J39" s="9" t="s">
        <v>191</v>
      </c>
      <c r="K39" s="9" t="s">
        <v>206</v>
      </c>
    </row>
    <row r="40" customFormat="false" ht="15.75" hidden="false" customHeight="true" outlineLevel="0" collapsed="false">
      <c r="A40" s="5" t="s">
        <v>207</v>
      </c>
      <c r="B40" s="5" t="s">
        <v>72</v>
      </c>
      <c r="C40" s="7" t="s">
        <v>138</v>
      </c>
      <c r="D40" s="7" t="s">
        <v>157</v>
      </c>
      <c r="E40" s="7" t="s">
        <v>157</v>
      </c>
      <c r="F40" s="7" t="s">
        <v>157</v>
      </c>
      <c r="G40" s="7" t="s">
        <v>157</v>
      </c>
      <c r="H40" s="7" t="s">
        <v>158</v>
      </c>
      <c r="I40" s="7" t="s">
        <v>158</v>
      </c>
      <c r="J40" s="7" t="s">
        <v>158</v>
      </c>
      <c r="K40" s="8" t="s">
        <v>208</v>
      </c>
    </row>
    <row r="41" customFormat="false" ht="15.75" hidden="false" customHeight="true" outlineLevel="0" collapsed="false">
      <c r="A41" s="5" t="s">
        <v>38</v>
      </c>
      <c r="B41" s="5" t="s">
        <v>38</v>
      </c>
      <c r="C41" s="7" t="s">
        <v>137</v>
      </c>
      <c r="D41" s="7" t="s">
        <v>137</v>
      </c>
      <c r="E41" s="7" t="s">
        <v>137</v>
      </c>
      <c r="F41" s="7" t="s">
        <v>137</v>
      </c>
      <c r="G41" s="7" t="s">
        <v>138</v>
      </c>
      <c r="H41" s="7" t="s">
        <v>138</v>
      </c>
      <c r="I41" s="7" t="s">
        <v>138</v>
      </c>
      <c r="J41" s="7" t="s">
        <v>138</v>
      </c>
      <c r="K41" s="8" t="s">
        <v>209</v>
      </c>
    </row>
    <row r="42" customFormat="false" ht="15.75" hidden="false" customHeight="true" outlineLevel="0" collapsed="false">
      <c r="A42" s="5" t="s">
        <v>156</v>
      </c>
      <c r="B42" s="5" t="s">
        <v>41</v>
      </c>
      <c r="C42" s="7" t="s">
        <v>137</v>
      </c>
      <c r="D42" s="7" t="s">
        <v>138</v>
      </c>
      <c r="E42" s="7" t="s">
        <v>138</v>
      </c>
      <c r="F42" s="7" t="s">
        <v>138</v>
      </c>
      <c r="G42" s="7" t="s">
        <v>157</v>
      </c>
      <c r="H42" s="7" t="s">
        <v>157</v>
      </c>
      <c r="I42" s="7" t="s">
        <v>157</v>
      </c>
      <c r="J42" s="7" t="s">
        <v>158</v>
      </c>
      <c r="K42" s="8" t="s">
        <v>210</v>
      </c>
    </row>
    <row r="43" customFormat="false" ht="15.75" hidden="false" customHeight="true" outlineLevel="0" collapsed="false"/>
    <row r="44" customFormat="false" ht="19.5" hidden="false" customHeight="true" outlineLevel="0" collapsed="false">
      <c r="A44" s="11" t="s">
        <v>211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customFormat="false" ht="27" hidden="false" customHeight="true" outlineLevel="0" collapsed="false">
      <c r="A45" s="12" t="s">
        <v>48</v>
      </c>
      <c r="B45" s="12" t="s">
        <v>49</v>
      </c>
      <c r="C45" s="12" t="s">
        <v>50</v>
      </c>
      <c r="D45" s="12" t="s">
        <v>51</v>
      </c>
      <c r="E45" s="12" t="s">
        <v>130</v>
      </c>
      <c r="F45" s="12" t="s">
        <v>131</v>
      </c>
      <c r="G45" s="12" t="s">
        <v>132</v>
      </c>
      <c r="H45" s="12" t="s">
        <v>133</v>
      </c>
      <c r="I45" s="12" t="s">
        <v>134</v>
      </c>
      <c r="J45" s="12" t="s">
        <v>135</v>
      </c>
      <c r="K45" s="12" t="s">
        <v>52</v>
      </c>
    </row>
    <row r="46" customFormat="false" ht="15.75" hidden="false" customHeight="true" outlineLevel="0" collapsed="false">
      <c r="A46" s="5" t="s">
        <v>212</v>
      </c>
      <c r="B46" s="5" t="s">
        <v>30</v>
      </c>
      <c r="C46" s="7" t="s">
        <v>105</v>
      </c>
      <c r="D46" s="7" t="s">
        <v>105</v>
      </c>
      <c r="E46" s="7" t="s">
        <v>105</v>
      </c>
      <c r="F46" s="7" t="s">
        <v>105</v>
      </c>
      <c r="G46" s="7" t="s">
        <v>105</v>
      </c>
      <c r="H46" s="7" t="s">
        <v>105</v>
      </c>
      <c r="I46" s="7" t="s">
        <v>105</v>
      </c>
      <c r="J46" s="7" t="s">
        <v>105</v>
      </c>
      <c r="K46" s="8" t="s">
        <v>213</v>
      </c>
    </row>
    <row r="47" customFormat="false" ht="15.75" hidden="false" customHeight="true" outlineLevel="0" collapsed="false">
      <c r="A47" s="5" t="s">
        <v>214</v>
      </c>
      <c r="B47" s="5" t="s">
        <v>54</v>
      </c>
      <c r="C47" s="7" t="s">
        <v>137</v>
      </c>
      <c r="D47" s="7" t="s">
        <v>137</v>
      </c>
      <c r="E47" s="7" t="s">
        <v>137</v>
      </c>
      <c r="F47" s="7" t="s">
        <v>137</v>
      </c>
      <c r="G47" s="7" t="s">
        <v>137</v>
      </c>
      <c r="H47" s="7" t="s">
        <v>137</v>
      </c>
      <c r="I47" s="7" t="s">
        <v>137</v>
      </c>
      <c r="J47" s="7" t="s">
        <v>137</v>
      </c>
      <c r="K47" s="8" t="s">
        <v>215</v>
      </c>
    </row>
    <row r="48" customFormat="false" ht="15.75" hidden="false" customHeight="true" outlineLevel="0" collapsed="false">
      <c r="A48" s="5" t="s">
        <v>216</v>
      </c>
      <c r="B48" s="5" t="s">
        <v>30</v>
      </c>
      <c r="C48" s="7" t="s">
        <v>137</v>
      </c>
      <c r="D48" s="7" t="s">
        <v>137</v>
      </c>
      <c r="E48" s="7" t="s">
        <v>137</v>
      </c>
      <c r="F48" s="7" t="s">
        <v>137</v>
      </c>
      <c r="G48" s="7" t="s">
        <v>137</v>
      </c>
      <c r="H48" s="7" t="s">
        <v>137</v>
      </c>
      <c r="I48" s="7" t="s">
        <v>138</v>
      </c>
      <c r="J48" s="7" t="s">
        <v>138</v>
      </c>
      <c r="K48" s="8" t="s">
        <v>217</v>
      </c>
    </row>
    <row r="49" customFormat="false" ht="15.75" hidden="false" customHeight="true" outlineLevel="0" collapsed="false">
      <c r="A49" s="5" t="s">
        <v>218</v>
      </c>
      <c r="B49" s="5" t="s">
        <v>28</v>
      </c>
      <c r="C49" s="7" t="s">
        <v>137</v>
      </c>
      <c r="D49" s="7" t="s">
        <v>137</v>
      </c>
      <c r="E49" s="7" t="s">
        <v>137</v>
      </c>
      <c r="F49" s="7" t="s">
        <v>138</v>
      </c>
      <c r="G49" s="7" t="s">
        <v>138</v>
      </c>
      <c r="H49" s="7" t="s">
        <v>138</v>
      </c>
      <c r="I49" s="7" t="s">
        <v>138</v>
      </c>
      <c r="J49" s="7" t="s">
        <v>138</v>
      </c>
      <c r="K49" s="8" t="s">
        <v>219</v>
      </c>
    </row>
    <row r="50" customFormat="false" ht="15.75" hidden="false" customHeight="true" outlineLevel="0" collapsed="false">
      <c r="A50" s="5" t="s">
        <v>220</v>
      </c>
      <c r="B50" s="5" t="s">
        <v>23</v>
      </c>
      <c r="C50" s="7" t="s">
        <v>137</v>
      </c>
      <c r="D50" s="7" t="s">
        <v>137</v>
      </c>
      <c r="E50" s="7" t="s">
        <v>137</v>
      </c>
      <c r="F50" s="7" t="s">
        <v>137</v>
      </c>
      <c r="G50" s="7" t="s">
        <v>137</v>
      </c>
      <c r="H50" s="7" t="s">
        <v>138</v>
      </c>
      <c r="I50" s="7" t="s">
        <v>138</v>
      </c>
      <c r="J50" s="7" t="s">
        <v>138</v>
      </c>
      <c r="K50" s="8" t="s">
        <v>221</v>
      </c>
    </row>
    <row r="51" customFormat="false" ht="15.75" hidden="false" customHeight="true" outlineLevel="0" collapsed="false">
      <c r="A51" s="5" t="s">
        <v>222</v>
      </c>
      <c r="B51" s="5" t="s">
        <v>86</v>
      </c>
      <c r="C51" s="7" t="s">
        <v>105</v>
      </c>
      <c r="D51" s="7" t="s">
        <v>105</v>
      </c>
      <c r="E51" s="7" t="s">
        <v>105</v>
      </c>
      <c r="F51" s="7" t="s">
        <v>105</v>
      </c>
      <c r="G51" s="7" t="s">
        <v>105</v>
      </c>
      <c r="H51" s="7" t="s">
        <v>137</v>
      </c>
      <c r="I51" s="7" t="s">
        <v>137</v>
      </c>
      <c r="J51" s="7" t="s">
        <v>137</v>
      </c>
      <c r="K51" s="8" t="s">
        <v>223</v>
      </c>
    </row>
    <row r="52" customFormat="false" ht="15.75" hidden="false" customHeight="true" outlineLevel="0" collapsed="false">
      <c r="A52" s="5" t="s">
        <v>224</v>
      </c>
      <c r="B52" s="5" t="s">
        <v>86</v>
      </c>
      <c r="C52" s="7" t="s">
        <v>137</v>
      </c>
      <c r="D52" s="7" t="s">
        <v>137</v>
      </c>
      <c r="E52" s="7" t="s">
        <v>137</v>
      </c>
      <c r="F52" s="7" t="s">
        <v>137</v>
      </c>
      <c r="G52" s="7" t="s">
        <v>137</v>
      </c>
      <c r="H52" s="7" t="s">
        <v>137</v>
      </c>
      <c r="I52" s="7" t="s">
        <v>137</v>
      </c>
      <c r="J52" s="7" t="s">
        <v>137</v>
      </c>
      <c r="K52" s="8" t="s">
        <v>225</v>
      </c>
    </row>
    <row r="53" customFormat="false" ht="15" hidden="false" customHeight="true" outlineLevel="0" collapsed="false">
      <c r="A53" s="5" t="s">
        <v>226</v>
      </c>
      <c r="B53" s="5" t="s">
        <v>86</v>
      </c>
      <c r="C53" s="7" t="s">
        <v>137</v>
      </c>
      <c r="D53" s="7" t="s">
        <v>137</v>
      </c>
      <c r="E53" s="7" t="s">
        <v>137</v>
      </c>
      <c r="F53" s="7" t="s">
        <v>137</v>
      </c>
      <c r="G53" s="7" t="s">
        <v>137</v>
      </c>
      <c r="H53" s="7" t="s">
        <v>137</v>
      </c>
      <c r="I53" s="7" t="s">
        <v>137</v>
      </c>
      <c r="J53" s="7" t="s">
        <v>137</v>
      </c>
      <c r="K53" s="8" t="s">
        <v>227</v>
      </c>
    </row>
    <row r="54" customFormat="false" ht="15.75" hidden="false" customHeight="true" outlineLevel="0" collapsed="false"/>
    <row r="55" customFormat="false" ht="19.5" hidden="false" customHeight="true" outlineLevel="0" collapsed="false">
      <c r="A55" s="11" t="s">
        <v>228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customFormat="false" ht="27" hidden="false" customHeight="true" outlineLevel="0" collapsed="false">
      <c r="A56" s="12" t="s">
        <v>48</v>
      </c>
      <c r="B56" s="12" t="s">
        <v>49</v>
      </c>
      <c r="C56" s="12" t="s">
        <v>50</v>
      </c>
      <c r="D56" s="12" t="s">
        <v>51</v>
      </c>
      <c r="E56" s="12" t="s">
        <v>130</v>
      </c>
      <c r="F56" s="12" t="s">
        <v>131</v>
      </c>
      <c r="G56" s="12" t="s">
        <v>132</v>
      </c>
      <c r="H56" s="12" t="s">
        <v>133</v>
      </c>
      <c r="I56" s="12" t="s">
        <v>134</v>
      </c>
      <c r="J56" s="12" t="s">
        <v>135</v>
      </c>
      <c r="K56" s="12" t="s">
        <v>52</v>
      </c>
    </row>
    <row r="57" customFormat="false" ht="30.75" hidden="false" customHeight="true" outlineLevel="0" collapsed="false">
      <c r="A57" s="8" t="s">
        <v>229</v>
      </c>
      <c r="B57" s="8" t="s">
        <v>141</v>
      </c>
      <c r="C57" s="9" t="s">
        <v>62</v>
      </c>
      <c r="D57" s="9" t="s">
        <v>191</v>
      </c>
      <c r="E57" s="9" t="s">
        <v>191</v>
      </c>
      <c r="F57" s="9" t="s">
        <v>191</v>
      </c>
      <c r="G57" s="9" t="s">
        <v>191</v>
      </c>
      <c r="H57" s="9" t="s">
        <v>191</v>
      </c>
      <c r="I57" s="9" t="s">
        <v>191</v>
      </c>
      <c r="J57" s="9" t="s">
        <v>191</v>
      </c>
      <c r="K57" s="8" t="s">
        <v>230</v>
      </c>
    </row>
    <row r="58" customFormat="false" ht="18" hidden="false" customHeight="true" outlineLevel="0" collapsed="false">
      <c r="A58" s="8" t="s">
        <v>64</v>
      </c>
      <c r="B58" s="8" t="s">
        <v>61</v>
      </c>
      <c r="C58" s="9" t="s">
        <v>62</v>
      </c>
      <c r="D58" s="9" t="s">
        <v>191</v>
      </c>
      <c r="E58" s="9" t="s">
        <v>191</v>
      </c>
      <c r="F58" s="9" t="s">
        <v>191</v>
      </c>
      <c r="G58" s="9" t="s">
        <v>191</v>
      </c>
      <c r="H58" s="9" t="s">
        <v>191</v>
      </c>
      <c r="I58" s="9" t="s">
        <v>191</v>
      </c>
      <c r="J58" s="9" t="s">
        <v>191</v>
      </c>
      <c r="K58" s="9" t="s">
        <v>231</v>
      </c>
    </row>
    <row r="59" customFormat="false" ht="18" hidden="false" customHeight="true" outlineLevel="0" collapsed="false">
      <c r="A59" s="8" t="s">
        <v>70</v>
      </c>
      <c r="B59" s="8" t="s">
        <v>61</v>
      </c>
      <c r="C59" s="9" t="s">
        <v>71</v>
      </c>
      <c r="D59" s="9" t="s">
        <v>191</v>
      </c>
      <c r="E59" s="9" t="s">
        <v>191</v>
      </c>
      <c r="F59" s="9" t="s">
        <v>191</v>
      </c>
      <c r="G59" s="9" t="s">
        <v>191</v>
      </c>
      <c r="H59" s="9" t="s">
        <v>191</v>
      </c>
      <c r="I59" s="9" t="s">
        <v>191</v>
      </c>
      <c r="J59" s="9" t="s">
        <v>191</v>
      </c>
      <c r="K59" s="8" t="s">
        <v>232</v>
      </c>
    </row>
    <row r="60" customFormat="false" ht="15.75" hidden="false" customHeight="true" outlineLevel="0" collapsed="false">
      <c r="A60" s="5" t="s">
        <v>233</v>
      </c>
      <c r="B60" s="5" t="s">
        <v>32</v>
      </c>
      <c r="C60" s="7" t="s">
        <v>137</v>
      </c>
      <c r="D60" s="7" t="s">
        <v>137</v>
      </c>
      <c r="E60" s="7" t="s">
        <v>138</v>
      </c>
      <c r="F60" s="7" t="s">
        <v>138</v>
      </c>
      <c r="G60" s="7" t="s">
        <v>138</v>
      </c>
      <c r="H60" s="7" t="s">
        <v>138</v>
      </c>
      <c r="I60" s="7" t="s">
        <v>157</v>
      </c>
      <c r="J60" s="7" t="s">
        <v>157</v>
      </c>
      <c r="K60" s="7"/>
    </row>
    <row r="61" customFormat="false" ht="30.75" hidden="false" customHeight="true" outlineLevel="0" collapsed="false">
      <c r="A61" s="5" t="s">
        <v>234</v>
      </c>
      <c r="B61" s="5" t="s">
        <v>235</v>
      </c>
      <c r="C61" s="7" t="s">
        <v>112</v>
      </c>
      <c r="D61" s="7" t="s">
        <v>236</v>
      </c>
      <c r="E61" s="7" t="s">
        <v>236</v>
      </c>
      <c r="F61" s="7" t="s">
        <v>236</v>
      </c>
      <c r="G61" s="7" t="s">
        <v>236</v>
      </c>
      <c r="H61" s="7" t="s">
        <v>236</v>
      </c>
      <c r="I61" s="7" t="s">
        <v>236</v>
      </c>
      <c r="J61" s="7" t="s">
        <v>236</v>
      </c>
      <c r="K61" s="7" t="s">
        <v>237</v>
      </c>
    </row>
    <row r="62" customFormat="false" ht="30.75" hidden="false" customHeight="true" outlineLevel="0" collapsed="false">
      <c r="A62" s="5" t="s">
        <v>238</v>
      </c>
      <c r="B62" s="5" t="s">
        <v>235</v>
      </c>
      <c r="C62" s="7" t="s">
        <v>191</v>
      </c>
      <c r="D62" s="7" t="s">
        <v>239</v>
      </c>
      <c r="E62" s="7" t="s">
        <v>239</v>
      </c>
      <c r="F62" s="7" t="s">
        <v>239</v>
      </c>
      <c r="G62" s="7" t="s">
        <v>239</v>
      </c>
      <c r="H62" s="7" t="s">
        <v>239</v>
      </c>
      <c r="I62" s="7" t="s">
        <v>239</v>
      </c>
      <c r="J62" s="7" t="s">
        <v>239</v>
      </c>
      <c r="K62" s="7" t="s">
        <v>240</v>
      </c>
    </row>
    <row r="63" customFormat="false" ht="43.5" hidden="false" customHeight="true" outlineLevel="0" collapsed="false">
      <c r="A63" s="5" t="s">
        <v>241</v>
      </c>
      <c r="B63" s="5" t="s">
        <v>242</v>
      </c>
      <c r="C63" s="7" t="s">
        <v>191</v>
      </c>
      <c r="D63" s="7" t="s">
        <v>243</v>
      </c>
      <c r="E63" s="7" t="s">
        <v>243</v>
      </c>
      <c r="F63" s="7" t="s">
        <v>243</v>
      </c>
      <c r="G63" s="7" t="s">
        <v>243</v>
      </c>
      <c r="H63" s="7" t="s">
        <v>243</v>
      </c>
      <c r="I63" s="7" t="s">
        <v>243</v>
      </c>
      <c r="J63" s="7" t="s">
        <v>243</v>
      </c>
      <c r="K63" s="7" t="s">
        <v>244</v>
      </c>
    </row>
    <row r="64" customFormat="false" ht="30" hidden="false" customHeight="true" outlineLevel="0" collapsed="false">
      <c r="A64" s="13" t="s">
        <v>245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customFormat="false" ht="15.75" hidden="false" customHeight="true" outlineLevel="0" collapsed="false"/>
    <row r="66" customFormat="false" ht="19.5" hidden="false" customHeight="true" outlineLevel="0" collapsed="false">
      <c r="A66" s="11" t="s">
        <v>246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customFormat="false" ht="30" hidden="false" customHeight="true" outlineLevel="0" collapsed="false">
      <c r="A67" s="19" t="s">
        <v>247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customFormat="false" ht="42" hidden="false" customHeight="true" outlineLevel="0" collapsed="false">
      <c r="A68" s="19" t="s">
        <v>248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customFormat="false" ht="42" hidden="false" customHeight="true" outlineLevel="0" collapsed="false">
      <c r="A69" s="19" t="s">
        <v>249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customFormat="false" ht="15.75" hidden="false" customHeight="true" outlineLevel="0" collapsed="false"/>
    <row r="71" customFormat="false" ht="19.5" hidden="false" customHeight="true" outlineLevel="0" collapsed="false">
      <c r="A71" s="20" t="s">
        <v>250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customFormat="false" ht="15.75" hidden="false" customHeight="true" outlineLevel="0" collapsed="false">
      <c r="A72" s="21" t="s">
        <v>251</v>
      </c>
      <c r="B72" s="21" t="s">
        <v>252</v>
      </c>
      <c r="C72" s="21" t="s">
        <v>253</v>
      </c>
      <c r="D72" s="21" t="s">
        <v>254</v>
      </c>
      <c r="E72" s="21" t="s">
        <v>255</v>
      </c>
      <c r="F72" s="21" t="s">
        <v>256</v>
      </c>
      <c r="G72" s="21" t="s">
        <v>257</v>
      </c>
      <c r="H72" s="21" t="s">
        <v>258</v>
      </c>
      <c r="I72" s="21" t="s">
        <v>259</v>
      </c>
      <c r="J72" s="21" t="s">
        <v>260</v>
      </c>
    </row>
    <row r="73" customFormat="false" ht="15.75" hidden="false" customHeight="true" outlineLevel="0" collapsed="false">
      <c r="A73" s="22" t="s">
        <v>86</v>
      </c>
      <c r="B73" s="23" t="str">
        <f aca="false">C73&amp;" → "&amp;J73</f>
        <v>10 → 14</v>
      </c>
      <c r="C73" s="23" t="n">
        <f aca="false" t="array" ref="C73:C73">SUM(($B$3:$B$63="Espalda")*IFERROR(VALUE(LEFT(C$3:C$63,FIND(" ",C$3:C$63&amp;" ")-1)),0))</f>
        <v>10</v>
      </c>
      <c r="D73" s="23" t="n">
        <f aca="false" t="array" ref="D73:D73">SUM(($B$3:$B$63="Espalda")*IFERROR(VALUE(LEFT(D$3:D$63,FIND(" ",D$3:D$63&amp;" ")-1)),0))</f>
        <v>11</v>
      </c>
      <c r="E73" s="23" t="n">
        <f aca="false" t="array" ref="E73:E73">SUM(($B$3:$B$63="Espalda")*IFERROR(VALUE(LEFT(E$3:E$63,FIND(" ",E$3:E$63&amp;" ")-1)),0))</f>
        <v>11</v>
      </c>
      <c r="F73" s="23" t="n">
        <f aca="false" t="array" ref="F73:F73">SUM(($B$3:$B$63="Espalda")*IFERROR(VALUE(LEFT(F$3:F$63,FIND(" ",F$3:F$63&amp;" ")-1)),0))</f>
        <v>12</v>
      </c>
      <c r="G73" s="23" t="n">
        <f aca="false" t="array" ref="G73:G73">SUM(($B$3:$B$63="Espalda")*IFERROR(VALUE(LEFT(G$3:G$63,FIND(" ",G$3:G$63&amp;" ")-1)),0))</f>
        <v>12</v>
      </c>
      <c r="H73" s="23" t="n">
        <f aca="false" t="array" ref="H73:H73">SUM(($B$3:$B$63="Espalda")*IFERROR(VALUE(LEFT(H$3:H$63,FIND(" ",H$3:H$63&amp;" ")-1)),0))</f>
        <v>13</v>
      </c>
      <c r="I73" s="23" t="n">
        <f aca="false" t="array" ref="I73:I73">SUM(($B$3:$B$63="Espalda")*IFERROR(VALUE(LEFT(I$3:I$63,FIND(" ",I$3:I$63&amp;" ")-1)),0))</f>
        <v>13</v>
      </c>
      <c r="J73" s="23" t="n">
        <f aca="false" t="array" ref="J73:J73">SUM(($B$3:$B$63="Espalda")*IFERROR(VALUE(LEFT(J$3:J$63,FIND(" ",J$3:J$63&amp;" ")-1)),0))</f>
        <v>14</v>
      </c>
      <c r="K73" s="23"/>
    </row>
    <row r="74" customFormat="false" ht="15.75" hidden="false" customHeight="true" outlineLevel="0" collapsed="false">
      <c r="A74" s="22" t="s">
        <v>23</v>
      </c>
      <c r="B74" s="23" t="str">
        <f aca="false">C74&amp;" → "&amp;J74</f>
        <v>6 → 10</v>
      </c>
      <c r="C74" s="23" t="n">
        <f aca="false" t="array" ref="C74:C74">SUM(($B$3:$B$63="Pecho")*IFERROR(VALUE(LEFT(C$3:C$63,FIND(" ",C$3:C$63&amp;" ")-1)),0))</f>
        <v>6</v>
      </c>
      <c r="D74" s="23" t="n">
        <f aca="false" t="array" ref="D74:D74">SUM(($B$3:$B$63="Pecho")*IFERROR(VALUE(LEFT(D$3:D$63,FIND(" ",D$3:D$63&amp;" ")-1)),0))</f>
        <v>7</v>
      </c>
      <c r="E74" s="23" t="n">
        <f aca="false" t="array" ref="E74:E74">SUM(($B$3:$B$63="Pecho")*IFERROR(VALUE(LEFT(E$3:E$63,FIND(" ",E$3:E$63&amp;" ")-1)),0))</f>
        <v>7</v>
      </c>
      <c r="F74" s="23" t="n">
        <f aca="false" t="array" ref="F74:F74">SUM(($B$3:$B$63="Pecho")*IFERROR(VALUE(LEFT(F$3:F$63,FIND(" ",F$3:F$63&amp;" ")-1)),0))</f>
        <v>8</v>
      </c>
      <c r="G74" s="23" t="n">
        <f aca="false" t="array" ref="G74:G74">SUM(($B$3:$B$63="Pecho")*IFERROR(VALUE(LEFT(G$3:G$63,FIND(" ",G$3:G$63&amp;" ")-1)),0))</f>
        <v>8</v>
      </c>
      <c r="H74" s="23" t="n">
        <f aca="false" t="array" ref="H74:H74">SUM(($B$3:$B$63="Pecho")*IFERROR(VALUE(LEFT(H$3:H$63,FIND(" ",H$3:H$63&amp;" ")-1)),0))</f>
        <v>9</v>
      </c>
      <c r="I74" s="23" t="n">
        <f aca="false" t="array" ref="I74:I74">SUM(($B$3:$B$63="Pecho")*IFERROR(VALUE(LEFT(I$3:I$63,FIND(" ",I$3:I$63&amp;" ")-1)),0))</f>
        <v>9</v>
      </c>
      <c r="J74" s="23" t="n">
        <f aca="false" t="array" ref="J74:J74">SUM(($B$3:$B$63="Pecho")*IFERROR(VALUE(LEFT(J$3:J$63,FIND(" ",J$3:J$63&amp;" ")-1)),0))</f>
        <v>10</v>
      </c>
      <c r="K74" s="23"/>
    </row>
    <row r="75" customFormat="false" ht="15.75" hidden="false" customHeight="true" outlineLevel="0" collapsed="false">
      <c r="A75" s="22" t="s">
        <v>54</v>
      </c>
      <c r="B75" s="23" t="str">
        <f aca="false">C75&amp;" → "&amp;J75</f>
        <v>6 → 10</v>
      </c>
      <c r="C75" s="23" t="n">
        <f aca="false" t="array" ref="C75:C75">SUM(($B$3:$B$63="Hombro lat.")*IFERROR(VALUE(LEFT(C$3:C$63,FIND(" ",C$3:C$63&amp;" ")-1)),0))</f>
        <v>6</v>
      </c>
      <c r="D75" s="23" t="n">
        <f aca="false" t="array" ref="D75:D75">SUM(($B$3:$B$63="Hombro lat.")*IFERROR(VALUE(LEFT(D$3:D$63,FIND(" ",D$3:D$63&amp;" ")-1)),0))</f>
        <v>6</v>
      </c>
      <c r="E75" s="23" t="n">
        <f aca="false" t="array" ref="E75:E75">SUM(($B$3:$B$63="Hombro lat.")*IFERROR(VALUE(LEFT(E$3:E$63,FIND(" ",E$3:E$63&amp;" ")-1)),0))</f>
        <v>7</v>
      </c>
      <c r="F75" s="23" t="n">
        <f aca="false" t="array" ref="F75:F75">SUM(($B$3:$B$63="Hombro lat.")*IFERROR(VALUE(LEFT(F$3:F$63,FIND(" ",F$3:F$63&amp;" ")-1)),0))</f>
        <v>7</v>
      </c>
      <c r="G75" s="23" t="n">
        <f aca="false" t="array" ref="G75:G75">SUM(($B$3:$B$63="Hombro lat.")*IFERROR(VALUE(LEFT(G$3:G$63,FIND(" ",G$3:G$63&amp;" ")-1)),0))</f>
        <v>8</v>
      </c>
      <c r="H75" s="23" t="n">
        <f aca="false" t="array" ref="H75:H75">SUM(($B$3:$B$63="Hombro lat.")*IFERROR(VALUE(LEFT(H$3:H$63,FIND(" ",H$3:H$63&amp;" ")-1)),0))</f>
        <v>8</v>
      </c>
      <c r="I75" s="23" t="n">
        <f aca="false" t="array" ref="I75:I75">SUM(($B$3:$B$63="Hombro lat.")*IFERROR(VALUE(LEFT(I$3:I$63,FIND(" ",I$3:I$63&amp;" ")-1)),0))</f>
        <v>9</v>
      </c>
      <c r="J75" s="23" t="n">
        <f aca="false" t="array" ref="J75:J75">SUM(($B$3:$B$63="Hombro lat.")*IFERROR(VALUE(LEFT(J$3:J$63,FIND(" ",J$3:J$63&amp;" ")-1)),0))</f>
        <v>10</v>
      </c>
      <c r="K75" s="23"/>
    </row>
    <row r="76" customFormat="false" ht="15.75" hidden="false" customHeight="true" outlineLevel="0" collapsed="false">
      <c r="A76" s="22" t="s">
        <v>184</v>
      </c>
      <c r="B76" s="23" t="str">
        <f aca="false">C76&amp;" → "&amp;J76</f>
        <v>1 → 3</v>
      </c>
      <c r="C76" s="23" t="n">
        <f aca="false" t="array" ref="C76:C76">SUM(($B$3:$B$63="Hombro post.")*IFERROR(VALUE(LEFT(C$3:C$63,FIND(" ",C$3:C$63&amp;" ")-1)),0))</f>
        <v>1</v>
      </c>
      <c r="D76" s="23" t="n">
        <f aca="false" t="array" ref="D76:D76">SUM(($B$3:$B$63="Hombro post.")*IFERROR(VALUE(LEFT(D$3:D$63,FIND(" ",D$3:D$63&amp;" ")-1)),0))</f>
        <v>1</v>
      </c>
      <c r="E76" s="23" t="n">
        <f aca="false" t="array" ref="E76:E76">SUM(($B$3:$B$63="Hombro post.")*IFERROR(VALUE(LEFT(E$3:E$63,FIND(" ",E$3:E$63&amp;" ")-1)),0))</f>
        <v>2</v>
      </c>
      <c r="F76" s="23" t="n">
        <f aca="false" t="array" ref="F76:F76">SUM(($B$3:$B$63="Hombro post.")*IFERROR(VALUE(LEFT(F$3:F$63,FIND(" ",F$3:F$63&amp;" ")-1)),0))</f>
        <v>2</v>
      </c>
      <c r="G76" s="23" t="n">
        <f aca="false" t="array" ref="G76:G76">SUM(($B$3:$B$63="Hombro post.")*IFERROR(VALUE(LEFT(G$3:G$63,FIND(" ",G$3:G$63&amp;" ")-1)),0))</f>
        <v>2</v>
      </c>
      <c r="H76" s="23" t="n">
        <f aca="false" t="array" ref="H76:H76">SUM(($B$3:$B$63="Hombro post.")*IFERROR(VALUE(LEFT(H$3:H$63,FIND(" ",H$3:H$63&amp;" ")-1)),0))</f>
        <v>3</v>
      </c>
      <c r="I76" s="23" t="n">
        <f aca="false" t="array" ref="I76:I76">SUM(($B$3:$B$63="Hombro post.")*IFERROR(VALUE(LEFT(I$3:I$63,FIND(" ",I$3:I$63&amp;" ")-1)),0))</f>
        <v>3</v>
      </c>
      <c r="J76" s="23" t="n">
        <f aca="false" t="array" ref="J76:J76">SUM(($B$3:$B$63="Hombro post.")*IFERROR(VALUE(LEFT(J$3:J$63,FIND(" ",J$3:J$63&amp;" ")-1)),0))</f>
        <v>3</v>
      </c>
      <c r="K76" s="23"/>
    </row>
    <row r="77" customFormat="false" ht="15.75" hidden="false" customHeight="true" outlineLevel="0" collapsed="false">
      <c r="A77" s="22" t="s">
        <v>28</v>
      </c>
      <c r="B77" s="23" t="str">
        <f aca="false">C77&amp;" → "&amp;J77</f>
        <v>6 → 10</v>
      </c>
      <c r="C77" s="23" t="n">
        <f aca="false" t="array" ref="C77:C77">SUM(($B$3:$B$63="Bíceps")*IFERROR(VALUE(LEFT(C$3:C$63,FIND(" ",C$3:C$63&amp;" ")-1)),0))</f>
        <v>6</v>
      </c>
      <c r="D77" s="23" t="n">
        <f aca="false" t="array" ref="D77:D77">SUM(($B$3:$B$63="Bíceps")*IFERROR(VALUE(LEFT(D$3:D$63,FIND(" ",D$3:D$63&amp;" ")-1)),0))</f>
        <v>7</v>
      </c>
      <c r="E77" s="23" t="n">
        <f aca="false" t="array" ref="E77:E77">SUM(($B$3:$B$63="Bíceps")*IFERROR(VALUE(LEFT(E$3:E$63,FIND(" ",E$3:E$63&amp;" ")-1)),0))</f>
        <v>7</v>
      </c>
      <c r="F77" s="23" t="n">
        <f aca="false" t="array" ref="F77:F77">SUM(($B$3:$B$63="Bíceps")*IFERROR(VALUE(LEFT(F$3:F$63,FIND(" ",F$3:F$63&amp;" ")-1)),0))</f>
        <v>8</v>
      </c>
      <c r="G77" s="23" t="n">
        <f aca="false" t="array" ref="G77:G77">SUM(($B$3:$B$63="Bíceps")*IFERROR(VALUE(LEFT(G$3:G$63,FIND(" ",G$3:G$63&amp;" ")-1)),0))</f>
        <v>8</v>
      </c>
      <c r="H77" s="23" t="n">
        <f aca="false" t="array" ref="H77:H77">SUM(($B$3:$B$63="Bíceps")*IFERROR(VALUE(LEFT(H$3:H$63,FIND(" ",H$3:H$63&amp;" ")-1)),0))</f>
        <v>9</v>
      </c>
      <c r="I77" s="23" t="n">
        <f aca="false" t="array" ref="I77:I77">SUM(($B$3:$B$63="Bíceps")*IFERROR(VALUE(LEFT(I$3:I$63,FIND(" ",I$3:I$63&amp;" ")-1)),0))</f>
        <v>9</v>
      </c>
      <c r="J77" s="23" t="n">
        <f aca="false" t="array" ref="J77:J77">SUM(($B$3:$B$63="Bíceps")*IFERROR(VALUE(LEFT(J$3:J$63,FIND(" ",J$3:J$63&amp;" ")-1)),0))</f>
        <v>10</v>
      </c>
      <c r="K77" s="23"/>
    </row>
    <row r="78" customFormat="false" ht="15.75" hidden="false" customHeight="true" outlineLevel="0" collapsed="false">
      <c r="A78" s="22" t="s">
        <v>30</v>
      </c>
      <c r="B78" s="23" t="str">
        <f aca="false">C78&amp;" → "&amp;J78</f>
        <v>6 → 10</v>
      </c>
      <c r="C78" s="23" t="n">
        <f aca="false" t="array" ref="C78:C78">SUM(($B$3:$B$63="Tríceps")*IFERROR(VALUE(LEFT(C$3:C$63,FIND(" ",C$3:C$63&amp;" ")-1)),0))</f>
        <v>6</v>
      </c>
      <c r="D78" s="23" t="n">
        <f aca="false" t="array" ref="D78:D78">SUM(($B$3:$B$63="Tríceps")*IFERROR(VALUE(LEFT(D$3:D$63,FIND(" ",D$3:D$63&amp;" ")-1)),0))</f>
        <v>6</v>
      </c>
      <c r="E78" s="23" t="n">
        <f aca="false" t="array" ref="E78:E78">SUM(($B$3:$B$63="Tríceps")*IFERROR(VALUE(LEFT(E$3:E$63,FIND(" ",E$3:E$63&amp;" ")-1)),0))</f>
        <v>7</v>
      </c>
      <c r="F78" s="23" t="n">
        <f aca="false" t="array" ref="F78:F78">SUM(($B$3:$B$63="Tríceps")*IFERROR(VALUE(LEFT(F$3:F$63,FIND(" ",F$3:F$63&amp;" ")-1)),0))</f>
        <v>7</v>
      </c>
      <c r="G78" s="23" t="n">
        <f aca="false" t="array" ref="G78:G78">SUM(($B$3:$B$63="Tríceps")*IFERROR(VALUE(LEFT(G$3:G$63,FIND(" ",G$3:G$63&amp;" ")-1)),0))</f>
        <v>8</v>
      </c>
      <c r="H78" s="23" t="n">
        <f aca="false" t="array" ref="H78:H78">SUM(($B$3:$B$63="Tríceps")*IFERROR(VALUE(LEFT(H$3:H$63,FIND(" ",H$3:H$63&amp;" ")-1)),0))</f>
        <v>8</v>
      </c>
      <c r="I78" s="23" t="n">
        <f aca="false" t="array" ref="I78:I78">SUM(($B$3:$B$63="Tríceps")*IFERROR(VALUE(LEFT(I$3:I$63,FIND(" ",I$3:I$63&amp;" ")-1)),0))</f>
        <v>9</v>
      </c>
      <c r="J78" s="23" t="n">
        <f aca="false" t="array" ref="J78:J78">SUM(($B$3:$B$63="Tríceps")*IFERROR(VALUE(LEFT(J$3:J$63,FIND(" ",J$3:J$63&amp;" ")-1)),0))</f>
        <v>10</v>
      </c>
      <c r="K78" s="23"/>
    </row>
    <row r="79" customFormat="false" ht="15.75" hidden="false" customHeight="true" outlineLevel="0" collapsed="false">
      <c r="A79" s="22" t="s">
        <v>72</v>
      </c>
      <c r="B79" s="23" t="str">
        <f aca="false">C79&amp;" → "&amp;J79</f>
        <v>5 → 9</v>
      </c>
      <c r="C79" s="23" t="n">
        <f aca="false" t="array" ref="C79:C79">SUM(($B$3:$B$63="Isquios")*IFERROR(VALUE(LEFT(C$3:C$63,FIND(" ",C$3:C$63&amp;" ")-1)),0))</f>
        <v>5</v>
      </c>
      <c r="D79" s="23" t="n">
        <f aca="false" t="array" ref="D79:D79">SUM(($B$3:$B$63="Isquios")*IFERROR(VALUE(LEFT(D$3:D$63,FIND(" ",D$3:D$63&amp;" ")-1)),0))</f>
        <v>6</v>
      </c>
      <c r="E79" s="23" t="n">
        <f aca="false" t="array" ref="E79:E79">SUM(($B$3:$B$63="Isquios")*IFERROR(VALUE(LEFT(E$3:E$63,FIND(" ",E$3:E$63&amp;" ")-1)),0))</f>
        <v>6</v>
      </c>
      <c r="F79" s="23" t="n">
        <f aca="false" t="array" ref="F79:F79">SUM(($B$3:$B$63="Isquios")*IFERROR(VALUE(LEFT(F$3:F$63,FIND(" ",F$3:F$63&amp;" ")-1)),0))</f>
        <v>7</v>
      </c>
      <c r="G79" s="23" t="n">
        <f aca="false" t="array" ref="G79:G79">SUM(($B$3:$B$63="Isquios")*IFERROR(VALUE(LEFT(G$3:G$63,FIND(" ",G$3:G$63&amp;" ")-1)),0))</f>
        <v>7</v>
      </c>
      <c r="H79" s="23" t="n">
        <f aca="false" t="array" ref="H79:H79">SUM(($B$3:$B$63="Isquios")*IFERROR(VALUE(LEFT(H$3:H$63,FIND(" ",H$3:H$63&amp;" ")-1)),0))</f>
        <v>8</v>
      </c>
      <c r="I79" s="23" t="n">
        <f aca="false" t="array" ref="I79:I79">SUM(($B$3:$B$63="Isquios")*IFERROR(VALUE(LEFT(I$3:I$63,FIND(" ",I$3:I$63&amp;" ")-1)),0))</f>
        <v>8</v>
      </c>
      <c r="J79" s="23" t="n">
        <f aca="false" t="array" ref="J79:J79">SUM(($B$3:$B$63="Isquios")*IFERROR(VALUE(LEFT(J$3:J$63,FIND(" ",J$3:J$63&amp;" ")-1)),0))</f>
        <v>9</v>
      </c>
      <c r="K79" s="23"/>
    </row>
    <row r="80" customFormat="false" ht="15.75" hidden="false" customHeight="true" outlineLevel="0" collapsed="false">
      <c r="A80" s="22" t="s">
        <v>32</v>
      </c>
      <c r="B80" s="23" t="str">
        <f aca="false">C80&amp;" → "&amp;J80</f>
        <v>5 → 9</v>
      </c>
      <c r="C80" s="23" t="n">
        <f aca="false" t="array" ref="C80:C80">SUM(($B$3:$B$63="Abs")*IFERROR(VALUE(LEFT(C$3:C$63,FIND(" ",C$3:C$63&amp;" ")-1)),0))</f>
        <v>5</v>
      </c>
      <c r="D80" s="23" t="n">
        <f aca="false" t="array" ref="D80:D80">SUM(($B$3:$B$63="Abs")*IFERROR(VALUE(LEFT(D$3:D$63,FIND(" ",D$3:D$63&amp;" ")-1)),0))</f>
        <v>5</v>
      </c>
      <c r="E80" s="23" t="n">
        <f aca="false" t="array" ref="E80:E80">SUM(($B$3:$B$63="Abs")*IFERROR(VALUE(LEFT(E$3:E$63,FIND(" ",E$3:E$63&amp;" ")-1)),0))</f>
        <v>6</v>
      </c>
      <c r="F80" s="23" t="n">
        <f aca="false" t="array" ref="F80:F80">SUM(($B$3:$B$63="Abs")*IFERROR(VALUE(LEFT(F$3:F$63,FIND(" ",F$3:F$63&amp;" ")-1)),0))</f>
        <v>6</v>
      </c>
      <c r="G80" s="23" t="n">
        <f aca="false" t="array" ref="G80:G80">SUM(($B$3:$B$63="Abs")*IFERROR(VALUE(LEFT(G$3:G$63,FIND(" ",G$3:G$63&amp;" ")-1)),0))</f>
        <v>7</v>
      </c>
      <c r="H80" s="23" t="n">
        <f aca="false" t="array" ref="H80:H80">SUM(($B$3:$B$63="Abs")*IFERROR(VALUE(LEFT(H$3:H$63,FIND(" ",H$3:H$63&amp;" ")-1)),0))</f>
        <v>7</v>
      </c>
      <c r="I80" s="23" t="n">
        <f aca="false" t="array" ref="I80:I80">SUM(($B$3:$B$63="Abs")*IFERROR(VALUE(LEFT(I$3:I$63,FIND(" ",I$3:I$63&amp;" ")-1)),0))</f>
        <v>8</v>
      </c>
      <c r="J80" s="23" t="n">
        <f aca="false" t="array" ref="J80:J80">SUM(($B$3:$B$63="Abs")*IFERROR(VALUE(LEFT(J$3:J$63,FIND(" ",J$3:J$63&amp;" ")-1)),0))</f>
        <v>9</v>
      </c>
      <c r="K80" s="23"/>
    </row>
    <row r="81" customFormat="false" ht="15.75" hidden="false" customHeight="true" outlineLevel="0" collapsed="false">
      <c r="A81" s="22" t="s">
        <v>41</v>
      </c>
      <c r="B81" s="23" t="str">
        <f aca="false">C81&amp;" → "&amp;J81</f>
        <v>5 → 10</v>
      </c>
      <c r="C81" s="23" t="n">
        <f aca="false" t="array" ref="C81:C81">SUM(($B$3:$B$63="Gemelos")*IFERROR(VALUE(LEFT(C$3:C$63,FIND(" ",C$3:C$63&amp;" ")-1)),0))</f>
        <v>5</v>
      </c>
      <c r="D81" s="23" t="n">
        <f aca="false" t="array" ref="D81:D81">SUM(($B$3:$B$63="Gemelos")*IFERROR(VALUE(LEFT(D$3:D$63,FIND(" ",D$3:D$63&amp;" ")-1)),0))</f>
        <v>6</v>
      </c>
      <c r="E81" s="23" t="n">
        <f aca="false" t="array" ref="E81:E81">SUM(($B$3:$B$63="Gemelos")*IFERROR(VALUE(LEFT(E$3:E$63,FIND(" ",E$3:E$63&amp;" ")-1)),0))</f>
        <v>7</v>
      </c>
      <c r="F81" s="23" t="n">
        <f aca="false" t="array" ref="F81:F81">SUM(($B$3:$B$63="Gemelos")*IFERROR(VALUE(LEFT(F$3:F$63,FIND(" ",F$3:F$63&amp;" ")-1)),0))</f>
        <v>7</v>
      </c>
      <c r="G81" s="23" t="n">
        <f aca="false" t="array" ref="G81:G81">SUM(($B$3:$B$63="Gemelos")*IFERROR(VALUE(LEFT(G$3:G$63,FIND(" ",G$3:G$63&amp;" ")-1)),0))</f>
        <v>8</v>
      </c>
      <c r="H81" s="23" t="n">
        <f aca="false" t="array" ref="H81:H81">SUM(($B$3:$B$63="Gemelos")*IFERROR(VALUE(LEFT(H$3:H$63,FIND(" ",H$3:H$63&amp;" ")-1)),0))</f>
        <v>8</v>
      </c>
      <c r="I81" s="23" t="n">
        <f aca="false" t="array" ref="I81:I81">SUM(($B$3:$B$63="Gemelos")*IFERROR(VALUE(LEFT(I$3:I$63,FIND(" ",I$3:I$63&amp;" ")-1)),0))</f>
        <v>9</v>
      </c>
      <c r="J81" s="23" t="n">
        <f aca="false" t="array" ref="J81:J81">SUM(($B$3:$B$63="Gemelos")*IFERROR(VALUE(LEFT(J$3:J$63,FIND(" ",J$3:J$63&amp;" ")-1)),0))</f>
        <v>10</v>
      </c>
      <c r="K81" s="23"/>
    </row>
    <row r="82" customFormat="false" ht="15.75" hidden="false" customHeight="true" outlineLevel="0" collapsed="false">
      <c r="A82" s="22" t="s">
        <v>38</v>
      </c>
      <c r="B82" s="23" t="str">
        <f aca="false">C82&amp;" → "&amp;J82</f>
        <v>2 → 3</v>
      </c>
      <c r="C82" s="23" t="n">
        <f aca="false" t="array" ref="C82:C82">SUM(($B$3:$B$63="Aductores")*IFERROR(VALUE(LEFT(C$3:C$63,FIND(" ",C$3:C$63&amp;" ")-1)),0))</f>
        <v>2</v>
      </c>
      <c r="D82" s="23" t="n">
        <f aca="false" t="array" ref="D82:D82">SUM(($B$3:$B$63="Aductores")*IFERROR(VALUE(LEFT(D$3:D$63,FIND(" ",D$3:D$63&amp;" ")-1)),0))</f>
        <v>2</v>
      </c>
      <c r="E82" s="23" t="n">
        <f aca="false" t="array" ref="E82:E82">SUM(($B$3:$B$63="Aductores")*IFERROR(VALUE(LEFT(E$3:E$63,FIND(" ",E$3:E$63&amp;" ")-1)),0))</f>
        <v>2</v>
      </c>
      <c r="F82" s="23" t="n">
        <f aca="false" t="array" ref="F82:F82">SUM(($B$3:$B$63="Aductores")*IFERROR(VALUE(LEFT(F$3:F$63,FIND(" ",F$3:F$63&amp;" ")-1)),0))</f>
        <v>2</v>
      </c>
      <c r="G82" s="23" t="n">
        <f aca="false" t="array" ref="G82:G82">SUM(($B$3:$B$63="Aductores")*IFERROR(VALUE(LEFT(G$3:G$63,FIND(" ",G$3:G$63&amp;" ")-1)),0))</f>
        <v>3</v>
      </c>
      <c r="H82" s="23" t="n">
        <f aca="false" t="array" ref="H82:H82">SUM(($B$3:$B$63="Aductores")*IFERROR(VALUE(LEFT(H$3:H$63,FIND(" ",H$3:H$63&amp;" ")-1)),0))</f>
        <v>3</v>
      </c>
      <c r="I82" s="23" t="n">
        <f aca="false" t="array" ref="I82:I82">SUM(($B$3:$B$63="Aductores")*IFERROR(VALUE(LEFT(I$3:I$63,FIND(" ",I$3:I$63&amp;" ")-1)),0))</f>
        <v>3</v>
      </c>
      <c r="J82" s="23" t="n">
        <f aca="false" t="array" ref="J82:J82">SUM(($B$3:$B$63="Aductores")*IFERROR(VALUE(LEFT(J$3:J$63,FIND(" ",J$3:J$63&amp;" ")-1)),0))</f>
        <v>3</v>
      </c>
      <c r="K82" s="23"/>
    </row>
    <row r="83" customFormat="false" ht="15.75" hidden="false" customHeight="true" outlineLevel="0" collapsed="false">
      <c r="A83" s="24" t="s">
        <v>261</v>
      </c>
      <c r="B83" s="21" t="str">
        <f aca="false">C83&amp;" → "&amp;J83</f>
        <v>52 → 88</v>
      </c>
      <c r="C83" s="21" t="n">
        <f aca="false">SUM(C73:C82)</f>
        <v>52</v>
      </c>
      <c r="D83" s="21" t="n">
        <f aca="false">SUM(D73:D82)</f>
        <v>57</v>
      </c>
      <c r="E83" s="21" t="n">
        <f aca="false">SUM(E73:E82)</f>
        <v>62</v>
      </c>
      <c r="F83" s="21" t="n">
        <f aca="false">SUM(F73:F82)</f>
        <v>66</v>
      </c>
      <c r="G83" s="21" t="n">
        <f aca="false">SUM(G73:G82)</f>
        <v>71</v>
      </c>
      <c r="H83" s="21" t="n">
        <f aca="false">SUM(H73:H82)</f>
        <v>76</v>
      </c>
      <c r="I83" s="21" t="n">
        <f aca="false">SUM(I73:I82)</f>
        <v>80</v>
      </c>
      <c r="J83" s="21" t="n">
        <f aca="false">SUM(J73:J82)</f>
        <v>88</v>
      </c>
      <c r="K83" s="21"/>
    </row>
    <row r="84" customFormat="false" ht="15.75" hidden="false" customHeight="true" outlineLevel="0" collapsed="false"/>
    <row r="85" customFormat="false" ht="19.5" hidden="false" customHeight="true" outlineLevel="0" collapsed="false">
      <c r="A85" s="20" t="s">
        <v>262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customFormat="false" ht="15.75" hidden="false" customHeight="true" outlineLevel="0" collapsed="false">
      <c r="A86" s="21" t="s">
        <v>263</v>
      </c>
      <c r="B86" s="21" t="s">
        <v>252</v>
      </c>
      <c r="C86" s="21" t="s">
        <v>253</v>
      </c>
      <c r="D86" s="21" t="s">
        <v>254</v>
      </c>
      <c r="E86" s="21" t="s">
        <v>255</v>
      </c>
      <c r="F86" s="21" t="s">
        <v>256</v>
      </c>
      <c r="G86" s="21" t="s">
        <v>257</v>
      </c>
      <c r="H86" s="21" t="s">
        <v>258</v>
      </c>
      <c r="I86" s="21" t="s">
        <v>259</v>
      </c>
      <c r="J86" s="21" t="s">
        <v>260</v>
      </c>
      <c r="K86" s="0" t="s">
        <v>264</v>
      </c>
    </row>
    <row r="87" customFormat="false" ht="15.75" hidden="false" customHeight="true" outlineLevel="0" collapsed="false">
      <c r="A87" s="22" t="s">
        <v>265</v>
      </c>
      <c r="B87" s="23" t="str">
        <f aca="false">C87&amp;" → "&amp;J87</f>
        <v>4 → 5</v>
      </c>
      <c r="C87" s="23" t="n">
        <f aca="false">IFERROR(VALUE(LEFT(C25,FIND(" ",C25&amp;" ")-1)),0)+IFERROR(VALUE(LEFT(C53,FIND(" ",C53&amp;" ")-1)),0)</f>
        <v>4</v>
      </c>
      <c r="D87" s="23" t="n">
        <f aca="false">IFERROR(VALUE(LEFT(D25,FIND(" ",D25&amp;" ")-1)),0)+IFERROR(VALUE(LEFT(D53,FIND(" ",D53&amp;" ")-1)),0)</f>
        <v>4</v>
      </c>
      <c r="E87" s="23" t="n">
        <f aca="false">IFERROR(VALUE(LEFT(E25,FIND(" ",E25&amp;" ")-1)),0)+IFERROR(VALUE(LEFT(E53,FIND(" ",E53&amp;" ")-1)),0)</f>
        <v>4</v>
      </c>
      <c r="F87" s="23" t="n">
        <f aca="false">IFERROR(VALUE(LEFT(F25,FIND(" ",F25&amp;" ")-1)),0)+IFERROR(VALUE(LEFT(F53,FIND(" ",F53&amp;" ")-1)),0)</f>
        <v>5</v>
      </c>
      <c r="G87" s="23" t="n">
        <f aca="false">IFERROR(VALUE(LEFT(G25,FIND(" ",G25&amp;" ")-1)),0)+IFERROR(VALUE(LEFT(G53,FIND(" ",G53&amp;" ")-1)),0)</f>
        <v>5</v>
      </c>
      <c r="H87" s="23" t="n">
        <f aca="false">IFERROR(VALUE(LEFT(H25,FIND(" ",H25&amp;" ")-1)),0)+IFERROR(VALUE(LEFT(H53,FIND(" ",H53&amp;" ")-1)),0)</f>
        <v>5</v>
      </c>
      <c r="I87" s="23" t="n">
        <f aca="false">IFERROR(VALUE(LEFT(I25,FIND(" ",I25&amp;" ")-1)),0)+IFERROR(VALUE(LEFT(I53,FIND(" ",I53&amp;" ")-1)),0)</f>
        <v>5</v>
      </c>
      <c r="J87" s="23" t="n">
        <f aca="false">IFERROR(VALUE(LEFT(J25,FIND(" ",J25&amp;" ")-1)),0)+IFERROR(VALUE(LEFT(J53,FIND(" ",J53&amp;" ")-1)),0)</f>
        <v>5</v>
      </c>
      <c r="K87" s="25" t="s">
        <v>266</v>
      </c>
    </row>
    <row r="88" customFormat="false" ht="15.75" hidden="false" customHeight="true" outlineLevel="0" collapsed="false">
      <c r="A88" s="22" t="s">
        <v>267</v>
      </c>
      <c r="B88" s="23" t="str">
        <f aca="false">C88&amp;" → "&amp;J88</f>
        <v>4 → 6</v>
      </c>
      <c r="C88" s="23" t="n">
        <f aca="false">IFERROR(VALUE(LEFT(C28,FIND(" ",C28&amp;" ")-1)),0)+IFERROR(VALUE(LEFT(C51,FIND(" ",C51&amp;" ")-1)),0)+IFERROR(VALUE(LEFT(C52,FIND(" ",C52&amp;" ")-1)),0)</f>
        <v>4</v>
      </c>
      <c r="D88" s="23" t="n">
        <f aca="false">IFERROR(VALUE(LEFT(D28,FIND(" ",D28&amp;" ")-1)),0)+IFERROR(VALUE(LEFT(D51,FIND(" ",D51&amp;" ")-1)),0)+IFERROR(VALUE(LEFT(D52,FIND(" ",D52&amp;" ")-1)),0)</f>
        <v>5</v>
      </c>
      <c r="E88" s="23" t="n">
        <f aca="false">IFERROR(VALUE(LEFT(E28,FIND(" ",E28&amp;" ")-1)),0)+IFERROR(VALUE(LEFT(E51,FIND(" ",E51&amp;" ")-1)),0)+IFERROR(VALUE(LEFT(E52,FIND(" ",E52&amp;" ")-1)),0)</f>
        <v>5</v>
      </c>
      <c r="F88" s="23" t="n">
        <f aca="false">IFERROR(VALUE(LEFT(F28,FIND(" ",F28&amp;" ")-1)),0)+IFERROR(VALUE(LEFT(F51,FIND(" ",F51&amp;" ")-1)),0)+IFERROR(VALUE(LEFT(F52,FIND(" ",F52&amp;" ")-1)),0)</f>
        <v>5</v>
      </c>
      <c r="G88" s="23" t="n">
        <f aca="false">IFERROR(VALUE(LEFT(G28,FIND(" ",G28&amp;" ")-1)),0)+IFERROR(VALUE(LEFT(G51,FIND(" ",G51&amp;" ")-1)),0)+IFERROR(VALUE(LEFT(G52,FIND(" ",G52&amp;" ")-1)),0)</f>
        <v>5</v>
      </c>
      <c r="H88" s="23" t="n">
        <f aca="false">IFERROR(VALUE(LEFT(H28,FIND(" ",H28&amp;" ")-1)),0)+IFERROR(VALUE(LEFT(H51,FIND(" ",H51&amp;" ")-1)),0)+IFERROR(VALUE(LEFT(H52,FIND(" ",H52&amp;" ")-1)),0)</f>
        <v>6</v>
      </c>
      <c r="I88" s="23" t="n">
        <f aca="false">IFERROR(VALUE(LEFT(I28,FIND(" ",I28&amp;" ")-1)),0)+IFERROR(VALUE(LEFT(I51,FIND(" ",I51&amp;" ")-1)),0)+IFERROR(VALUE(LEFT(I52,FIND(" ",I52&amp;" ")-1)),0)</f>
        <v>6</v>
      </c>
      <c r="J88" s="23" t="n">
        <f aca="false">IFERROR(VALUE(LEFT(J28,FIND(" ",J28&amp;" ")-1)),0)+IFERROR(VALUE(LEFT(J51,FIND(" ",J51&amp;" ")-1)),0)+IFERROR(VALUE(LEFT(J52,FIND(" ",J52&amp;" ")-1)),0)</f>
        <v>6</v>
      </c>
      <c r="K88" s="25" t="s">
        <v>268</v>
      </c>
    </row>
    <row r="89" customFormat="false" ht="15.75" hidden="false" customHeight="true" outlineLevel="0" collapsed="false">
      <c r="A89" s="22" t="s">
        <v>269</v>
      </c>
      <c r="B89" s="23" t="str">
        <f aca="false">C89&amp;" → "&amp;J89</f>
        <v>2 → 3</v>
      </c>
      <c r="C89" s="23" t="n">
        <f aca="false">IFERROR(VALUE(LEFT(C26,FIND(" ",C26&amp;" ")-1)),0)</f>
        <v>2</v>
      </c>
      <c r="D89" s="23" t="n">
        <f aca="false">IFERROR(VALUE(LEFT(D26,FIND(" ",D26&amp;" ")-1)),0)</f>
        <v>2</v>
      </c>
      <c r="E89" s="23" t="n">
        <f aca="false">IFERROR(VALUE(LEFT(E26,FIND(" ",E26&amp;" ")-1)),0)</f>
        <v>2</v>
      </c>
      <c r="F89" s="23" t="n">
        <f aca="false">IFERROR(VALUE(LEFT(F26,FIND(" ",F26&amp;" ")-1)),0)</f>
        <v>2</v>
      </c>
      <c r="G89" s="23" t="n">
        <f aca="false">IFERROR(VALUE(LEFT(G26,FIND(" ",G26&amp;" ")-1)),0)</f>
        <v>2</v>
      </c>
      <c r="H89" s="23" t="n">
        <f aca="false">IFERROR(VALUE(LEFT(H26,FIND(" ",H26&amp;" ")-1)),0)</f>
        <v>2</v>
      </c>
      <c r="I89" s="23" t="n">
        <f aca="false">IFERROR(VALUE(LEFT(I26,FIND(" ",I26&amp;" ")-1)),0)</f>
        <v>2</v>
      </c>
      <c r="J89" s="23" t="n">
        <f aca="false">IFERROR(VALUE(LEFT(J26,FIND(" ",J26&amp;" ")-1)),0)</f>
        <v>3</v>
      </c>
      <c r="K89" s="25" t="s">
        <v>270</v>
      </c>
    </row>
    <row r="90" customFormat="false" ht="15.75" hidden="false" customHeight="true" outlineLevel="0" collapsed="false">
      <c r="A90" s="24" t="s">
        <v>271</v>
      </c>
      <c r="B90" s="21" t="str">
        <f aca="false">C90&amp;" → "&amp;J90</f>
        <v>3 → 6</v>
      </c>
      <c r="C90" s="21" t="n">
        <f aca="false">IFERROR(VALUE(LEFT(C26,FIND(" ",C26&amp;" ")-1)),0)+IFERROR(VALUE(LEFT(C30,FIND(" ",C30&amp;" ")-1)),0)</f>
        <v>3</v>
      </c>
      <c r="D90" s="21" t="n">
        <f aca="false">IFERROR(VALUE(LEFT(D26,FIND(" ",D26&amp;" ")-1)),0)+IFERROR(VALUE(LEFT(D30,FIND(" ",D30&amp;" ")-1)),0)</f>
        <v>3</v>
      </c>
      <c r="E90" s="21" t="n">
        <f aca="false">IFERROR(VALUE(LEFT(E26,FIND(" ",E26&amp;" ")-1)),0)+IFERROR(VALUE(LEFT(E30,FIND(" ",E30&amp;" ")-1)),0)</f>
        <v>4</v>
      </c>
      <c r="F90" s="21" t="n">
        <f aca="false">IFERROR(VALUE(LEFT(F26,FIND(" ",F26&amp;" ")-1)),0)+IFERROR(VALUE(LEFT(F30,FIND(" ",F30&amp;" ")-1)),0)</f>
        <v>4</v>
      </c>
      <c r="G90" s="21" t="n">
        <f aca="false">IFERROR(VALUE(LEFT(G26,FIND(" ",G26&amp;" ")-1)),0)+IFERROR(VALUE(LEFT(G30,FIND(" ",G30&amp;" ")-1)),0)</f>
        <v>4</v>
      </c>
      <c r="H90" s="21" t="n">
        <f aca="false">IFERROR(VALUE(LEFT(H26,FIND(" ",H26&amp;" ")-1)),0)+IFERROR(VALUE(LEFT(H30,FIND(" ",H30&amp;" ")-1)),0)</f>
        <v>5</v>
      </c>
      <c r="I90" s="21" t="n">
        <f aca="false">IFERROR(VALUE(LEFT(I26,FIND(" ",I26&amp;" ")-1)),0)+IFERROR(VALUE(LEFT(I30,FIND(" ",I30&amp;" ")-1)),0)</f>
        <v>5</v>
      </c>
      <c r="J90" s="21" t="n">
        <f aca="false">IFERROR(VALUE(LEFT(J26,FIND(" ",J26&amp;" ")-1)),0)+IFERROR(VALUE(LEFT(J30,FIND(" ",J30&amp;" ")-1)),0)</f>
        <v>6</v>
      </c>
      <c r="K90" s="26" t="s">
        <v>272</v>
      </c>
    </row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9.5" hidden="false" customHeight="true" outlineLevel="0" collapsed="false">
      <c r="A93" s="20" t="s">
        <v>273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customFormat="false" ht="15.75" hidden="false" customHeight="true" outlineLevel="0" collapsed="false">
      <c r="A94" s="21" t="s">
        <v>274</v>
      </c>
      <c r="B94" s="21" t="s">
        <v>275</v>
      </c>
      <c r="C94" s="21" t="s">
        <v>253</v>
      </c>
      <c r="D94" s="21" t="s">
        <v>254</v>
      </c>
      <c r="E94" s="21" t="s">
        <v>255</v>
      </c>
      <c r="F94" s="21" t="s">
        <v>256</v>
      </c>
      <c r="G94" s="21" t="s">
        <v>257</v>
      </c>
      <c r="H94" s="21" t="s">
        <v>258</v>
      </c>
      <c r="I94" s="21" t="s">
        <v>259</v>
      </c>
      <c r="J94" s="21" t="s">
        <v>260</v>
      </c>
      <c r="K94" s="0" t="s">
        <v>276</v>
      </c>
    </row>
    <row r="95" customFormat="false" ht="55.5" hidden="false" customHeight="true" outlineLevel="0" collapsed="false">
      <c r="A95" s="27" t="s">
        <v>277</v>
      </c>
      <c r="B95" s="28" t="s">
        <v>278</v>
      </c>
      <c r="C95" s="23" t="s">
        <v>279</v>
      </c>
      <c r="D95" s="29" t="s">
        <v>191</v>
      </c>
      <c r="E95" s="29" t="s">
        <v>191</v>
      </c>
      <c r="F95" s="29" t="s">
        <v>191</v>
      </c>
      <c r="G95" s="29" t="s">
        <v>280</v>
      </c>
      <c r="H95" s="29" t="s">
        <v>280</v>
      </c>
      <c r="I95" s="29" t="s">
        <v>280</v>
      </c>
      <c r="J95" s="29" t="s">
        <v>280</v>
      </c>
      <c r="K95" s="8" t="s">
        <v>281</v>
      </c>
    </row>
    <row r="96" customFormat="false" ht="30.75" hidden="false" customHeight="true" outlineLevel="0" collapsed="false">
      <c r="A96" s="27" t="s">
        <v>282</v>
      </c>
      <c r="B96" s="28" t="s">
        <v>283</v>
      </c>
      <c r="C96" s="23" t="s">
        <v>284</v>
      </c>
      <c r="D96" s="29" t="s">
        <v>191</v>
      </c>
      <c r="E96" s="29" t="s">
        <v>191</v>
      </c>
      <c r="F96" s="29" t="s">
        <v>285</v>
      </c>
      <c r="G96" s="29" t="s">
        <v>280</v>
      </c>
      <c r="H96" s="29" t="s">
        <v>280</v>
      </c>
      <c r="I96" s="29" t="s">
        <v>280</v>
      </c>
      <c r="J96" s="29" t="s">
        <v>280</v>
      </c>
      <c r="K96" s="8" t="s">
        <v>286</v>
      </c>
    </row>
    <row r="97" customFormat="false" ht="81" hidden="false" customHeight="true" outlineLevel="0" collapsed="false">
      <c r="A97" s="27" t="s">
        <v>287</v>
      </c>
      <c r="B97" s="28" t="s">
        <v>288</v>
      </c>
      <c r="C97" s="29" t="s">
        <v>191</v>
      </c>
      <c r="D97" s="29" t="s">
        <v>289</v>
      </c>
      <c r="E97" s="29" t="s">
        <v>290</v>
      </c>
      <c r="F97" s="29" t="s">
        <v>291</v>
      </c>
      <c r="G97" s="29" t="s">
        <v>292</v>
      </c>
      <c r="H97" s="29" t="s">
        <v>293</v>
      </c>
      <c r="I97" s="29" t="s">
        <v>294</v>
      </c>
      <c r="J97" s="29" t="s">
        <v>295</v>
      </c>
      <c r="K97" s="8" t="s">
        <v>296</v>
      </c>
    </row>
    <row r="98" customFormat="false" ht="30.75" hidden="false" customHeight="true" outlineLevel="0" collapsed="false">
      <c r="A98" s="27" t="s">
        <v>297</v>
      </c>
      <c r="B98" s="28" t="s">
        <v>288</v>
      </c>
      <c r="C98" s="29" t="s">
        <v>191</v>
      </c>
      <c r="D98" s="29" t="s">
        <v>298</v>
      </c>
      <c r="E98" s="29" t="s">
        <v>298</v>
      </c>
      <c r="F98" s="29" t="s">
        <v>298</v>
      </c>
      <c r="G98" s="29" t="s">
        <v>298</v>
      </c>
      <c r="H98" s="29" t="s">
        <v>298</v>
      </c>
      <c r="I98" s="29" t="s">
        <v>298</v>
      </c>
      <c r="J98" s="29" t="s">
        <v>298</v>
      </c>
      <c r="K98" s="8" t="s">
        <v>299</v>
      </c>
    </row>
    <row r="99" customFormat="false" ht="55.5" hidden="false" customHeight="true" outlineLevel="0" collapsed="false">
      <c r="A99" s="27" t="s">
        <v>300</v>
      </c>
      <c r="B99" s="28" t="s">
        <v>301</v>
      </c>
      <c r="C99" s="29" t="s">
        <v>191</v>
      </c>
      <c r="D99" s="29" t="s">
        <v>302</v>
      </c>
      <c r="E99" s="29" t="s">
        <v>191</v>
      </c>
      <c r="F99" s="29" t="s">
        <v>303</v>
      </c>
      <c r="G99" s="29" t="s">
        <v>304</v>
      </c>
      <c r="H99" s="29" t="s">
        <v>191</v>
      </c>
      <c r="I99" s="29" t="s">
        <v>305</v>
      </c>
      <c r="J99" s="29" t="s">
        <v>306</v>
      </c>
      <c r="K99" s="8" t="s">
        <v>307</v>
      </c>
    </row>
    <row r="100" customFormat="false" ht="15.75" hidden="false" customHeight="true" outlineLevel="0" collapsed="false"/>
    <row r="101" customFormat="false" ht="19.5" hidden="false" customHeight="true" outlineLevel="0" collapsed="false">
      <c r="A101" s="20" t="s">
        <v>308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customFormat="false" ht="30.75" hidden="false" customHeight="true" outlineLevel="0" collapsed="false">
      <c r="A102" s="13" t="s">
        <v>309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customFormat="false" ht="30.75" hidden="false" customHeight="true" outlineLevel="0" collapsed="false">
      <c r="A103" s="13" t="s">
        <v>310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customFormat="false" ht="18" hidden="false" customHeight="true" outlineLevel="0" collapsed="false">
      <c r="A104" s="13" t="s">
        <v>311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customFormat="false" ht="30.75" hidden="false" customHeight="true" outlineLevel="0" collapsed="false">
      <c r="A105" s="13" t="s">
        <v>312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customFormat="false" ht="30.75" hidden="false" customHeight="true" outlineLevel="0" collapsed="false">
      <c r="A106" s="13" t="s">
        <v>313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customFormat="false" ht="18" hidden="false" customHeight="true" outlineLevel="0" collapsed="false">
      <c r="A107" s="13" t="s">
        <v>314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customFormat="false" ht="43.5" hidden="false" customHeight="true" outlineLevel="0" collapsed="false">
      <c r="A108" s="13" t="s">
        <v>315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customFormat="false" ht="18" hidden="false" customHeight="true" outlineLevel="0" collapsed="false">
      <c r="A109" s="13" t="s">
        <v>316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customFormat="false" ht="18" hidden="false" customHeight="true" outlineLevel="0" collapsed="false">
      <c r="A110" s="13" t="s">
        <v>317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customFormat="false" ht="18" hidden="false" customHeight="true" outlineLevel="0" collapsed="false">
      <c r="A111" s="13" t="s">
        <v>318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 customFormat="false" ht="30.75" hidden="false" customHeight="true" outlineLevel="0" collapsed="false">
      <c r="A112" s="13" t="s">
        <v>319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customFormat="false" ht="30.75" hidden="false" customHeight="true" outlineLevel="0" collapsed="false">
      <c r="A113" s="13" t="s">
        <v>320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" hidden="false" customHeight="true" outlineLevel="0" collapsed="false"/>
    <row r="1010" customFormat="false" ht="15" hidden="false" customHeight="true" outlineLevel="0" collapsed="false"/>
    <row r="1011" customFormat="false" ht="15" hidden="false" customHeight="true" outlineLevel="0" collapsed="false"/>
    <row r="1012" customFormat="false" ht="15" hidden="false" customHeight="true" outlineLevel="0" collapsed="false"/>
    <row r="1013" customFormat="false" ht="15" hidden="false" customHeight="true" outlineLevel="0" collapsed="false"/>
    <row r="1014" customFormat="false" ht="15" hidden="false" customHeight="true" outlineLevel="0" collapsed="false"/>
  </sheetData>
  <mergeCells count="29">
    <mergeCell ref="A1:K1"/>
    <mergeCell ref="A2:K2"/>
    <mergeCell ref="A4:K4"/>
    <mergeCell ref="A14:K14"/>
    <mergeCell ref="A23:K23"/>
    <mergeCell ref="A33:K33"/>
    <mergeCell ref="A44:K44"/>
    <mergeCell ref="A55:K55"/>
    <mergeCell ref="A64:K64"/>
    <mergeCell ref="A66:K66"/>
    <mergeCell ref="A67:K67"/>
    <mergeCell ref="A68:K68"/>
    <mergeCell ref="A69:K69"/>
    <mergeCell ref="A71:K71"/>
    <mergeCell ref="A85:K85"/>
    <mergeCell ref="A93:K93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6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4" min="13" style="0" width="8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42"/>
  </cols>
  <sheetData>
    <row r="1" customFormat="false" ht="19.5" hidden="false" customHeight="true" outlineLevel="0" collapsed="false">
      <c r="A1" s="11" t="s">
        <v>321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customFormat="false" ht="63.75" hidden="false" customHeight="true" outlineLevel="0" collapsed="false">
      <c r="A2" s="19" t="s">
        <v>322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customFormat="false" ht="19.5" hidden="false" customHeight="true" outlineLevel="0" collapsed="false">
      <c r="A3" s="11" t="s">
        <v>323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customFormat="false" ht="42" hidden="false" customHeight="true" outlineLevel="0" collapsed="false">
      <c r="A4" s="30" t="s">
        <v>324</v>
      </c>
      <c r="B4" s="30" t="s">
        <v>325</v>
      </c>
      <c r="C4" s="30" t="s">
        <v>326</v>
      </c>
      <c r="D4" s="30" t="s">
        <v>327</v>
      </c>
      <c r="E4" s="30" t="s">
        <v>328</v>
      </c>
      <c r="F4" s="30" t="s">
        <v>329</v>
      </c>
      <c r="G4" s="30" t="s">
        <v>330</v>
      </c>
      <c r="H4" s="30" t="s">
        <v>331</v>
      </c>
      <c r="I4" s="30" t="s">
        <v>332</v>
      </c>
      <c r="J4" s="30" t="s">
        <v>333</v>
      </c>
      <c r="K4" s="30" t="s">
        <v>334</v>
      </c>
      <c r="L4" s="30" t="s">
        <v>335</v>
      </c>
      <c r="M4" s="30" t="s">
        <v>336</v>
      </c>
      <c r="N4" s="30" t="s">
        <v>337</v>
      </c>
      <c r="O4" s="30" t="s">
        <v>338</v>
      </c>
      <c r="P4" s="30" t="s">
        <v>339</v>
      </c>
      <c r="Q4" s="30" t="s">
        <v>52</v>
      </c>
    </row>
    <row r="5" customFormat="false" ht="27" hidden="false" customHeight="true" outlineLevel="0" collapsed="false">
      <c r="A5" s="31" t="n">
        <v>46321</v>
      </c>
      <c r="B5" s="32" t="s">
        <v>340</v>
      </c>
      <c r="C5" s="33" t="s">
        <v>341</v>
      </c>
      <c r="D5" s="34" t="s">
        <v>342</v>
      </c>
      <c r="E5" s="35" t="s">
        <v>343</v>
      </c>
      <c r="F5" s="36" t="s">
        <v>344</v>
      </c>
      <c r="G5" s="37"/>
      <c r="H5" s="37"/>
      <c r="I5" s="38" t="str">
        <f aca="false">IF(COUNT(G5,H5)=0,"",MAX(G5,H5))</f>
        <v/>
      </c>
      <c r="J5" s="37"/>
      <c r="K5" s="37"/>
      <c r="L5" s="37"/>
      <c r="M5" s="38" t="str">
        <f aca="false">IF(I6="","",I6)</f>
        <v/>
      </c>
      <c r="N5" s="38" t="str">
        <f aca="false">IF(I7="","",I7)</f>
        <v/>
      </c>
      <c r="O5" s="38" t="str">
        <f aca="false">IF(OR(M5="",N5=""),"",MAX(M5,N5))</f>
        <v/>
      </c>
      <c r="P5" s="39" t="str">
        <f aca="false">IF(J5="","",IF(I5="","sin referencia",IF(AND(E5="Carrera (≤2/10)",K5=""),"falta K",IF(O5="","pendiente",IF(E5="Carrera (≤2/10)",IF(AND(J5&lt;=2,K5="Sí",M5&lt;=I5,O5&lt;=I5),"Sí","No"),IF(AND(J5&lt;=3,O5&lt;=I5),"Sí","No"))))))</f>
        <v/>
      </c>
      <c r="Q5" s="40"/>
    </row>
    <row r="6" customFormat="false" ht="27" hidden="false" customHeight="true" outlineLevel="0" collapsed="false">
      <c r="A6" s="31" t="n">
        <v>46322</v>
      </c>
      <c r="B6" s="32" t="s">
        <v>345</v>
      </c>
      <c r="C6" s="33" t="s">
        <v>341</v>
      </c>
      <c r="D6" s="34" t="s">
        <v>346</v>
      </c>
      <c r="E6" s="35" t="s">
        <v>347</v>
      </c>
      <c r="F6" s="36" t="s">
        <v>348</v>
      </c>
      <c r="G6" s="37"/>
      <c r="H6" s="37"/>
      <c r="I6" s="38" t="str">
        <f aca="false">IF(COUNT(G6,H6)=0,"",MAX(G6,H6))</f>
        <v/>
      </c>
      <c r="J6" s="37"/>
      <c r="K6" s="37"/>
      <c r="L6" s="37"/>
      <c r="M6" s="38" t="str">
        <f aca="false">IF(I7="","",I7)</f>
        <v/>
      </c>
      <c r="N6" s="38" t="str">
        <f aca="false">IF(I8="","",I8)</f>
        <v/>
      </c>
      <c r="O6" s="38" t="str">
        <f aca="false">IF(OR(M6="",N6=""),"",MAX(M6,N6))</f>
        <v/>
      </c>
      <c r="P6" s="39" t="str">
        <f aca="false">IF(J6="","",IF(I6="","sin referencia",IF(AND(E6="Carrera (≤2/10)",K6=""),"falta K",IF(O6="","pendiente",IF(E6="Carrera (≤2/10)",IF(AND(J6&lt;=2,K6="Sí",M6&lt;=I6,O6&lt;=I6),"Sí","No"),IF(AND(J6&lt;=3,O6&lt;=I6),"Sí","No"))))))</f>
        <v/>
      </c>
      <c r="Q6" s="40"/>
    </row>
    <row r="7" customFormat="false" ht="27" hidden="false" customHeight="true" outlineLevel="0" collapsed="false">
      <c r="A7" s="31" t="n">
        <v>46323</v>
      </c>
      <c r="B7" s="32" t="s">
        <v>349</v>
      </c>
      <c r="C7" s="33" t="s">
        <v>341</v>
      </c>
      <c r="D7" s="34" t="s">
        <v>350</v>
      </c>
      <c r="E7" s="35" t="s">
        <v>347</v>
      </c>
      <c r="F7" s="36" t="s">
        <v>351</v>
      </c>
      <c r="G7" s="37"/>
      <c r="H7" s="37"/>
      <c r="I7" s="38" t="str">
        <f aca="false">IF(COUNT(G7,H7)=0,"",MAX(G7,H7))</f>
        <v/>
      </c>
      <c r="J7" s="37"/>
      <c r="K7" s="37"/>
      <c r="L7" s="37"/>
      <c r="M7" s="38" t="str">
        <f aca="false">IF(I8="","",I8)</f>
        <v/>
      </c>
      <c r="N7" s="38" t="str">
        <f aca="false">IF(I9="","",I9)</f>
        <v/>
      </c>
      <c r="O7" s="38" t="str">
        <f aca="false">IF(OR(M7="",N7=""),"",MAX(M7,N7))</f>
        <v/>
      </c>
      <c r="P7" s="39" t="str">
        <f aca="false">IF(J7="","",IF(I7="","sin referencia",IF(AND(E7="Carrera (≤2/10)",K7=""),"falta K",IF(O7="","pendiente",IF(E7="Carrera (≤2/10)",IF(AND(J7&lt;=2,K7="Sí",M7&lt;=I7,O7&lt;=I7),"Sí","No"),IF(AND(J7&lt;=3,O7&lt;=I7),"Sí","No"))))))</f>
        <v/>
      </c>
      <c r="Q7" s="40"/>
    </row>
    <row r="8" customFormat="false" ht="27" hidden="false" customHeight="true" outlineLevel="0" collapsed="false">
      <c r="A8" s="31" t="n">
        <v>46324</v>
      </c>
      <c r="B8" s="32" t="s">
        <v>352</v>
      </c>
      <c r="C8" s="33" t="s">
        <v>341</v>
      </c>
      <c r="D8" s="34" t="s">
        <v>353</v>
      </c>
      <c r="E8" s="35" t="s">
        <v>343</v>
      </c>
      <c r="F8" s="36" t="s">
        <v>354</v>
      </c>
      <c r="G8" s="37"/>
      <c r="H8" s="37"/>
      <c r="I8" s="38" t="str">
        <f aca="false">IF(COUNT(G8,H8)=0,"",MAX(G8,H8))</f>
        <v/>
      </c>
      <c r="J8" s="37"/>
      <c r="K8" s="37"/>
      <c r="L8" s="37"/>
      <c r="M8" s="38" t="str">
        <f aca="false">IF(I9="","",I9)</f>
        <v/>
      </c>
      <c r="N8" s="38" t="str">
        <f aca="false">IF(I10="","",I10)</f>
        <v/>
      </c>
      <c r="O8" s="38" t="str">
        <f aca="false">IF(OR(M8="",N8=""),"",MAX(M8,N8))</f>
        <v/>
      </c>
      <c r="P8" s="39" t="str">
        <f aca="false">IF(J8="","",IF(I8="","sin referencia",IF(AND(E8="Carrera (≤2/10)",K8=""),"falta K",IF(O8="","pendiente",IF(E8="Carrera (≤2/10)",IF(AND(J8&lt;=2,K8="Sí",M8&lt;=I8,O8&lt;=I8),"Sí","No"),IF(AND(J8&lt;=3,O8&lt;=I8),"Sí","No"))))))</f>
        <v/>
      </c>
      <c r="Q8" s="40"/>
    </row>
    <row r="9" customFormat="false" ht="27" hidden="false" customHeight="true" outlineLevel="0" collapsed="false">
      <c r="A9" s="31" t="n">
        <v>46325</v>
      </c>
      <c r="B9" s="32" t="s">
        <v>355</v>
      </c>
      <c r="C9" s="33" t="s">
        <v>341</v>
      </c>
      <c r="D9" s="34" t="s">
        <v>356</v>
      </c>
      <c r="E9" s="35" t="s">
        <v>191</v>
      </c>
      <c r="F9" s="36" t="s">
        <v>191</v>
      </c>
      <c r="G9" s="37"/>
      <c r="H9" s="37"/>
      <c r="I9" s="38" t="str">
        <f aca="false">IF(COUNT(G9,H9)=0,"",MAX(G9,H9))</f>
        <v/>
      </c>
      <c r="J9" s="37"/>
      <c r="K9" s="37"/>
      <c r="L9" s="37"/>
      <c r="M9" s="38" t="str">
        <f aca="false">IF(I10="","",I10)</f>
        <v/>
      </c>
      <c r="N9" s="38" t="str">
        <f aca="false">IF(I11="","",I11)</f>
        <v/>
      </c>
      <c r="O9" s="38" t="str">
        <f aca="false">IF(OR(M9="",N9=""),"",MAX(M9,N9))</f>
        <v/>
      </c>
      <c r="P9" s="39" t="str">
        <f aca="false">IF(J9="","",IF(I9="","sin referencia",IF(AND(E9="Carrera (≤2/10)",K9=""),"falta K",IF(O9="","pendiente",IF(E9="Carrera (≤2/10)",IF(AND(J9&lt;=2,K9="Sí",M9&lt;=I9,O9&lt;=I9),"Sí","No"),IF(AND(J9&lt;=3,O9&lt;=I9),"Sí","No"))))))</f>
        <v/>
      </c>
      <c r="Q9" s="40"/>
    </row>
    <row r="10" customFormat="false" ht="27" hidden="false" customHeight="true" outlineLevel="0" collapsed="false">
      <c r="A10" s="31" t="n">
        <v>46326</v>
      </c>
      <c r="B10" s="32" t="s">
        <v>357</v>
      </c>
      <c r="C10" s="33" t="s">
        <v>341</v>
      </c>
      <c r="D10" s="34" t="s">
        <v>358</v>
      </c>
      <c r="E10" s="35" t="s">
        <v>191</v>
      </c>
      <c r="F10" s="36" t="s">
        <v>191</v>
      </c>
      <c r="G10" s="37"/>
      <c r="H10" s="37"/>
      <c r="I10" s="38" t="str">
        <f aca="false">IF(COUNT(G10,H10)=0,"",MAX(G10,H10))</f>
        <v/>
      </c>
      <c r="J10" s="37"/>
      <c r="K10" s="37"/>
      <c r="L10" s="37"/>
      <c r="M10" s="38" t="str">
        <f aca="false">IF(I11="","",I11)</f>
        <v/>
      </c>
      <c r="N10" s="38" t="str">
        <f aca="false">IF(I12="","",I12)</f>
        <v/>
      </c>
      <c r="O10" s="38" t="str">
        <f aca="false">IF(OR(M10="",N10=""),"",MAX(M10,N10))</f>
        <v/>
      </c>
      <c r="P10" s="39" t="str">
        <f aca="false">IF(J10="","",IF(I10="","sin referencia",IF(AND(E10="Carrera (≤2/10)",K10=""),"falta K",IF(O10="","pendiente",IF(E10="Carrera (≤2/10)",IF(AND(J10&lt;=2,K10="Sí",M10&lt;=I10,O10&lt;=I10),"Sí","No"),IF(AND(J10&lt;=3,O10&lt;=I10),"Sí","No"))))))</f>
        <v/>
      </c>
      <c r="Q10" s="40"/>
    </row>
    <row r="11" customFormat="false" ht="27" hidden="false" customHeight="true" outlineLevel="0" collapsed="false">
      <c r="A11" s="31" t="n">
        <v>46327</v>
      </c>
      <c r="B11" s="32" t="s">
        <v>359</v>
      </c>
      <c r="C11" s="33" t="s">
        <v>341</v>
      </c>
      <c r="D11" s="34" t="s">
        <v>360</v>
      </c>
      <c r="E11" s="35" t="s">
        <v>347</v>
      </c>
      <c r="F11" s="36" t="s">
        <v>361</v>
      </c>
      <c r="G11" s="37"/>
      <c r="H11" s="37"/>
      <c r="I11" s="38" t="str">
        <f aca="false">IF(COUNT(G11,H11)=0,"",MAX(G11,H11))</f>
        <v/>
      </c>
      <c r="J11" s="37"/>
      <c r="K11" s="37"/>
      <c r="L11" s="37"/>
      <c r="M11" s="38" t="str">
        <f aca="false">IF(I12="","",I12)</f>
        <v/>
      </c>
      <c r="N11" s="38" t="str">
        <f aca="false">IF(I13="","",I13)</f>
        <v/>
      </c>
      <c r="O11" s="38" t="str">
        <f aca="false">IF(OR(M11="",N11=""),"",MAX(M11,N11))</f>
        <v/>
      </c>
      <c r="P11" s="39" t="str">
        <f aca="false">IF(J11="","",IF(I11="","sin referencia",IF(AND(E11="Carrera (≤2/10)",K11=""),"falta K",IF(O11="","pendiente",IF(E11="Carrera (≤2/10)",IF(AND(J11&lt;=2,K11="Sí",M11&lt;=I11,O11&lt;=I11),"Sí","No"),IF(AND(J11&lt;=3,O11&lt;=I11),"Sí","No"))))))</f>
        <v/>
      </c>
      <c r="Q11" s="40"/>
    </row>
    <row r="12" customFormat="false" ht="27" hidden="false" customHeight="true" outlineLevel="0" collapsed="false">
      <c r="A12" s="41" t="n">
        <v>46328</v>
      </c>
      <c r="B12" s="42" t="s">
        <v>340</v>
      </c>
      <c r="C12" s="43" t="s">
        <v>362</v>
      </c>
      <c r="D12" s="44" t="s">
        <v>342</v>
      </c>
      <c r="E12" s="45" t="s">
        <v>343</v>
      </c>
      <c r="F12" s="46" t="s">
        <v>363</v>
      </c>
      <c r="G12" s="37"/>
      <c r="H12" s="37"/>
      <c r="I12" s="38" t="str">
        <f aca="false">IF(COUNT(G12,H12)=0,"",MAX(G12,H12))</f>
        <v/>
      </c>
      <c r="J12" s="37"/>
      <c r="K12" s="37"/>
      <c r="L12" s="37"/>
      <c r="M12" s="38" t="str">
        <f aca="false">IF(I13="","",I13)</f>
        <v/>
      </c>
      <c r="N12" s="38" t="str">
        <f aca="false">IF(I14="","",I14)</f>
        <v/>
      </c>
      <c r="O12" s="38" t="str">
        <f aca="false">IF(OR(M12="",N12=""),"",MAX(M12,N12))</f>
        <v/>
      </c>
      <c r="P12" s="39" t="str">
        <f aca="false">IF(J12="","",IF(I12="","sin referencia",IF(AND(E12="Carrera (≤2/10)",K12=""),"falta K",IF(O12="","pendiente",IF(E12="Carrera (≤2/10)",IF(AND(J12&lt;=2,K12="Sí",M12&lt;=I12,O12&lt;=I12),"Sí","No"),IF(AND(J12&lt;=3,O12&lt;=I12),"Sí","No"))))))</f>
        <v/>
      </c>
      <c r="Q12" s="40"/>
    </row>
    <row r="13" customFormat="false" ht="27" hidden="false" customHeight="true" outlineLevel="0" collapsed="false">
      <c r="A13" s="41" t="n">
        <v>46329</v>
      </c>
      <c r="B13" s="42" t="s">
        <v>345</v>
      </c>
      <c r="C13" s="43" t="s">
        <v>362</v>
      </c>
      <c r="D13" s="44" t="s">
        <v>364</v>
      </c>
      <c r="E13" s="45" t="s">
        <v>191</v>
      </c>
      <c r="F13" s="46" t="s">
        <v>191</v>
      </c>
      <c r="G13" s="37"/>
      <c r="H13" s="37"/>
      <c r="I13" s="38" t="str">
        <f aca="false">IF(COUNT(G13,H13)=0,"",MAX(G13,H13))</f>
        <v/>
      </c>
      <c r="J13" s="37"/>
      <c r="K13" s="37"/>
      <c r="L13" s="37"/>
      <c r="M13" s="38" t="str">
        <f aca="false">IF(I14="","",I14)</f>
        <v/>
      </c>
      <c r="N13" s="38" t="str">
        <f aca="false">IF(I15="","",I15)</f>
        <v/>
      </c>
      <c r="O13" s="38" t="str">
        <f aca="false">IF(OR(M13="",N13=""),"",MAX(M13,N13))</f>
        <v/>
      </c>
      <c r="P13" s="39" t="str">
        <f aca="false">IF(J13="","",IF(I13="","sin referencia",IF(AND(E13="Carrera (≤2/10)",K13=""),"falta K",IF(O13="","pendiente",IF(E13="Carrera (≤2/10)",IF(AND(J13&lt;=2,K13="Sí",M13&lt;=I13,O13&lt;=I13),"Sí","No"),IF(AND(J13&lt;=3,O13&lt;=I13),"Sí","No"))))))</f>
        <v/>
      </c>
      <c r="Q13" s="40"/>
    </row>
    <row r="14" customFormat="false" ht="27" hidden="false" customHeight="true" outlineLevel="0" collapsed="false">
      <c r="A14" s="41" t="n">
        <v>46330</v>
      </c>
      <c r="B14" s="42" t="s">
        <v>349</v>
      </c>
      <c r="C14" s="43" t="s">
        <v>362</v>
      </c>
      <c r="D14" s="44" t="s">
        <v>365</v>
      </c>
      <c r="E14" s="45" t="s">
        <v>347</v>
      </c>
      <c r="F14" s="46" t="s">
        <v>366</v>
      </c>
      <c r="G14" s="37"/>
      <c r="H14" s="37"/>
      <c r="I14" s="38" t="str">
        <f aca="false">IF(COUNT(G14,H14)=0,"",MAX(G14,H14))</f>
        <v/>
      </c>
      <c r="J14" s="37"/>
      <c r="K14" s="37"/>
      <c r="L14" s="37"/>
      <c r="M14" s="38" t="str">
        <f aca="false">IF(I15="","",I15)</f>
        <v/>
      </c>
      <c r="N14" s="38" t="str">
        <f aca="false">IF(I16="","",I16)</f>
        <v/>
      </c>
      <c r="O14" s="38" t="str">
        <f aca="false">IF(OR(M14="",N14=""),"",MAX(M14,N14))</f>
        <v/>
      </c>
      <c r="P14" s="39" t="str">
        <f aca="false">IF(J14="","",IF(I14="","sin referencia",IF(AND(E14="Carrera (≤2/10)",K14=""),"falta K",IF(O14="","pendiente",IF(E14="Carrera (≤2/10)",IF(AND(J14&lt;=2,K14="Sí",M14&lt;=I14,O14&lt;=I14),"Sí","No"),IF(AND(J14&lt;=3,O14&lt;=I14),"Sí","No"))))))</f>
        <v/>
      </c>
      <c r="Q14" s="40"/>
    </row>
    <row r="15" customFormat="false" ht="27" hidden="false" customHeight="true" outlineLevel="0" collapsed="false">
      <c r="A15" s="41" t="n">
        <v>46331</v>
      </c>
      <c r="B15" s="42" t="s">
        <v>352</v>
      </c>
      <c r="C15" s="43" t="s">
        <v>362</v>
      </c>
      <c r="D15" s="44" t="s">
        <v>367</v>
      </c>
      <c r="E15" s="45" t="s">
        <v>343</v>
      </c>
      <c r="F15" s="46" t="s">
        <v>191</v>
      </c>
      <c r="G15" s="37"/>
      <c r="H15" s="37"/>
      <c r="I15" s="38" t="str">
        <f aca="false">IF(COUNT(G15,H15)=0,"",MAX(G15,H15))</f>
        <v/>
      </c>
      <c r="J15" s="37"/>
      <c r="K15" s="37"/>
      <c r="L15" s="37"/>
      <c r="M15" s="38" t="str">
        <f aca="false">IF(I16="","",I16)</f>
        <v/>
      </c>
      <c r="N15" s="38" t="str">
        <f aca="false">IF(I17="","",I17)</f>
        <v/>
      </c>
      <c r="O15" s="38" t="str">
        <f aca="false">IF(OR(M15="",N15=""),"",MAX(M15,N15))</f>
        <v/>
      </c>
      <c r="P15" s="39" t="str">
        <f aca="false">IF(J15="","",IF(I15="","sin referencia",IF(AND(E15="Carrera (≤2/10)",K15=""),"falta K",IF(O15="","pendiente",IF(E15="Carrera (≤2/10)",IF(AND(J15&lt;=2,K15="Sí",M15&lt;=I15,O15&lt;=I15),"Sí","No"),IF(AND(J15&lt;=3,O15&lt;=I15),"Sí","No"))))))</f>
        <v/>
      </c>
      <c r="Q15" s="40"/>
    </row>
    <row r="16" customFormat="false" ht="27" hidden="false" customHeight="true" outlineLevel="0" collapsed="false">
      <c r="A16" s="41" t="n">
        <v>46332</v>
      </c>
      <c r="B16" s="42" t="s">
        <v>355</v>
      </c>
      <c r="C16" s="43" t="s">
        <v>362</v>
      </c>
      <c r="D16" s="44" t="s">
        <v>356</v>
      </c>
      <c r="E16" s="45" t="s">
        <v>191</v>
      </c>
      <c r="F16" s="46" t="s">
        <v>191</v>
      </c>
      <c r="G16" s="37"/>
      <c r="H16" s="37"/>
      <c r="I16" s="38" t="str">
        <f aca="false">IF(COUNT(G16,H16)=0,"",MAX(G16,H16))</f>
        <v/>
      </c>
      <c r="J16" s="37"/>
      <c r="K16" s="37"/>
      <c r="L16" s="37"/>
      <c r="M16" s="38" t="str">
        <f aca="false">IF(I17="","",I17)</f>
        <v/>
      </c>
      <c r="N16" s="38" t="str">
        <f aca="false">IF(I18="","",I18)</f>
        <v/>
      </c>
      <c r="O16" s="38" t="str">
        <f aca="false">IF(OR(M16="",N16=""),"",MAX(M16,N16))</f>
        <v/>
      </c>
      <c r="P16" s="39" t="str">
        <f aca="false">IF(J16="","",IF(I16="","sin referencia",IF(AND(E16="Carrera (≤2/10)",K16=""),"falta K",IF(O16="","pendiente",IF(E16="Carrera (≤2/10)",IF(AND(J16&lt;=2,K16="Sí",M16&lt;=I16,O16&lt;=I16),"Sí","No"),IF(AND(J16&lt;=3,O16&lt;=I16),"Sí","No"))))))</f>
        <v/>
      </c>
      <c r="Q16" s="40"/>
    </row>
    <row r="17" customFormat="false" ht="27" hidden="false" customHeight="true" outlineLevel="0" collapsed="false">
      <c r="A17" s="41" t="n">
        <v>46333</v>
      </c>
      <c r="B17" s="42" t="s">
        <v>357</v>
      </c>
      <c r="C17" s="43" t="s">
        <v>362</v>
      </c>
      <c r="D17" s="44" t="s">
        <v>358</v>
      </c>
      <c r="E17" s="45" t="s">
        <v>191</v>
      </c>
      <c r="F17" s="46" t="s">
        <v>191</v>
      </c>
      <c r="G17" s="37"/>
      <c r="H17" s="37"/>
      <c r="I17" s="38" t="str">
        <f aca="false">IF(COUNT(G17,H17)=0,"",MAX(G17,H17))</f>
        <v/>
      </c>
      <c r="J17" s="37"/>
      <c r="K17" s="37"/>
      <c r="L17" s="37"/>
      <c r="M17" s="38" t="str">
        <f aca="false">IF(I18="","",I18)</f>
        <v/>
      </c>
      <c r="N17" s="38" t="str">
        <f aca="false">IF(I19="","",I19)</f>
        <v/>
      </c>
      <c r="O17" s="38" t="str">
        <f aca="false">IF(OR(M17="",N17=""),"",MAX(M17,N17))</f>
        <v/>
      </c>
      <c r="P17" s="39" t="str">
        <f aca="false">IF(J17="","",IF(I17="","sin referencia",IF(AND(E17="Carrera (≤2/10)",K17=""),"falta K",IF(O17="","pendiente",IF(E17="Carrera (≤2/10)",IF(AND(J17&lt;=2,K17="Sí",M17&lt;=I17,O17&lt;=I17),"Sí","No"),IF(AND(J17&lt;=3,O17&lt;=I17),"Sí","No"))))))</f>
        <v/>
      </c>
      <c r="Q17" s="40"/>
    </row>
    <row r="18" customFormat="false" ht="27" hidden="false" customHeight="true" outlineLevel="0" collapsed="false">
      <c r="A18" s="41" t="n">
        <v>46334</v>
      </c>
      <c r="B18" s="42" t="s">
        <v>359</v>
      </c>
      <c r="C18" s="43" t="s">
        <v>362</v>
      </c>
      <c r="D18" s="44" t="s">
        <v>360</v>
      </c>
      <c r="E18" s="45" t="s">
        <v>347</v>
      </c>
      <c r="F18" s="46" t="s">
        <v>361</v>
      </c>
      <c r="G18" s="37"/>
      <c r="H18" s="37"/>
      <c r="I18" s="38" t="str">
        <f aca="false">IF(COUNT(G18,H18)=0,"",MAX(G18,H18))</f>
        <v/>
      </c>
      <c r="J18" s="37"/>
      <c r="K18" s="37"/>
      <c r="L18" s="37"/>
      <c r="M18" s="38" t="str">
        <f aca="false">IF(I19="","",I19)</f>
        <v/>
      </c>
      <c r="N18" s="38" t="str">
        <f aca="false">IF(I20="","",I20)</f>
        <v/>
      </c>
      <c r="O18" s="38" t="str">
        <f aca="false">IF(OR(M18="",N18=""),"",MAX(M18,N18))</f>
        <v/>
      </c>
      <c r="P18" s="39" t="str">
        <f aca="false">IF(J18="","",IF(I18="","sin referencia",IF(AND(E18="Carrera (≤2/10)",K18=""),"falta K",IF(O18="","pendiente",IF(E18="Carrera (≤2/10)",IF(AND(J18&lt;=2,K18="Sí",M18&lt;=I18,O18&lt;=I18),"Sí","No"),IF(AND(J18&lt;=3,O18&lt;=I18),"Sí","No"))))))</f>
        <v/>
      </c>
      <c r="Q18" s="40"/>
    </row>
    <row r="19" customFormat="false" ht="27" hidden="false" customHeight="true" outlineLevel="0" collapsed="false">
      <c r="A19" s="31" t="n">
        <v>46335</v>
      </c>
      <c r="B19" s="32" t="s">
        <v>340</v>
      </c>
      <c r="C19" s="33" t="s">
        <v>368</v>
      </c>
      <c r="D19" s="34" t="s">
        <v>342</v>
      </c>
      <c r="E19" s="35" t="s">
        <v>343</v>
      </c>
      <c r="F19" s="36" t="s">
        <v>363</v>
      </c>
      <c r="G19" s="37"/>
      <c r="H19" s="37"/>
      <c r="I19" s="38" t="str">
        <f aca="false">IF(COUNT(G19,H19)=0,"",MAX(G19,H19))</f>
        <v/>
      </c>
      <c r="J19" s="37"/>
      <c r="K19" s="37"/>
      <c r="L19" s="37"/>
      <c r="M19" s="38" t="str">
        <f aca="false">IF(I20="","",I20)</f>
        <v/>
      </c>
      <c r="N19" s="38" t="str">
        <f aca="false">IF(I21="","",I21)</f>
        <v/>
      </c>
      <c r="O19" s="38" t="str">
        <f aca="false">IF(OR(M19="",N19=""),"",MAX(M19,N19))</f>
        <v/>
      </c>
      <c r="P19" s="39" t="str">
        <f aca="false">IF(J19="","",IF(I19="","sin referencia",IF(AND(E19="Carrera (≤2/10)",K19=""),"falta K",IF(O19="","pendiente",IF(E19="Carrera (≤2/10)",IF(AND(J19&lt;=2,K19="Sí",M19&lt;=I19,O19&lt;=I19),"Sí","No"),IF(AND(J19&lt;=3,O19&lt;=I19),"Sí","No"))))))</f>
        <v/>
      </c>
      <c r="Q19" s="40"/>
    </row>
    <row r="20" customFormat="false" ht="27" hidden="false" customHeight="true" outlineLevel="0" collapsed="false">
      <c r="A20" s="31" t="n">
        <v>46336</v>
      </c>
      <c r="B20" s="32" t="s">
        <v>345</v>
      </c>
      <c r="C20" s="33" t="s">
        <v>368</v>
      </c>
      <c r="D20" s="34" t="s">
        <v>364</v>
      </c>
      <c r="E20" s="35" t="s">
        <v>191</v>
      </c>
      <c r="F20" s="36" t="s">
        <v>191</v>
      </c>
      <c r="G20" s="37"/>
      <c r="H20" s="37"/>
      <c r="I20" s="38" t="str">
        <f aca="false">IF(COUNT(G20,H20)=0,"",MAX(G20,H20))</f>
        <v/>
      </c>
      <c r="J20" s="37"/>
      <c r="K20" s="37"/>
      <c r="L20" s="37"/>
      <c r="M20" s="38" t="str">
        <f aca="false">IF(I21="","",I21)</f>
        <v/>
      </c>
      <c r="N20" s="38" t="str">
        <f aca="false">IF(I22="","",I22)</f>
        <v/>
      </c>
      <c r="O20" s="38" t="str">
        <f aca="false">IF(OR(M20="",N20=""),"",MAX(M20,N20))</f>
        <v/>
      </c>
      <c r="P20" s="39" t="str">
        <f aca="false">IF(J20="","",IF(I20="","sin referencia",IF(AND(E20="Carrera (≤2/10)",K20=""),"falta K",IF(O20="","pendiente",IF(E20="Carrera (≤2/10)",IF(AND(J20&lt;=2,K20="Sí",M20&lt;=I20,O20&lt;=I20),"Sí","No"),IF(AND(J20&lt;=3,O20&lt;=I20),"Sí","No"))))))</f>
        <v/>
      </c>
      <c r="Q20" s="40"/>
    </row>
    <row r="21" customFormat="false" ht="27" hidden="false" customHeight="true" outlineLevel="0" collapsed="false">
      <c r="A21" s="31" t="n">
        <v>46337</v>
      </c>
      <c r="B21" s="32" t="s">
        <v>349</v>
      </c>
      <c r="C21" s="33" t="s">
        <v>368</v>
      </c>
      <c r="D21" s="34" t="s">
        <v>365</v>
      </c>
      <c r="E21" s="35" t="s">
        <v>347</v>
      </c>
      <c r="F21" s="36" t="s">
        <v>369</v>
      </c>
      <c r="G21" s="37"/>
      <c r="H21" s="37"/>
      <c r="I21" s="38" t="str">
        <f aca="false">IF(COUNT(G21,H21)=0,"",MAX(G21,H21))</f>
        <v/>
      </c>
      <c r="J21" s="37"/>
      <c r="K21" s="37"/>
      <c r="L21" s="37"/>
      <c r="M21" s="38" t="str">
        <f aca="false">IF(I22="","",I22)</f>
        <v/>
      </c>
      <c r="N21" s="38" t="str">
        <f aca="false">IF(I23="","",I23)</f>
        <v/>
      </c>
      <c r="O21" s="38" t="str">
        <f aca="false">IF(OR(M21="",N21=""),"",MAX(M21,N21))</f>
        <v/>
      </c>
      <c r="P21" s="39" t="str">
        <f aca="false">IF(J21="","",IF(I21="","sin referencia",IF(AND(E21="Carrera (≤2/10)",K21=""),"falta K",IF(O21="","pendiente",IF(E21="Carrera (≤2/10)",IF(AND(J21&lt;=2,K21="Sí",M21&lt;=I21,O21&lt;=I21),"Sí","No"),IF(AND(J21&lt;=3,O21&lt;=I21),"Sí","No"))))))</f>
        <v/>
      </c>
      <c r="Q21" s="40"/>
    </row>
    <row r="22" customFormat="false" ht="27" hidden="false" customHeight="true" outlineLevel="0" collapsed="false">
      <c r="A22" s="31" t="n">
        <v>46338</v>
      </c>
      <c r="B22" s="32" t="s">
        <v>352</v>
      </c>
      <c r="C22" s="33" t="s">
        <v>368</v>
      </c>
      <c r="D22" s="34" t="s">
        <v>367</v>
      </c>
      <c r="E22" s="35" t="s">
        <v>343</v>
      </c>
      <c r="F22" s="36" t="s">
        <v>191</v>
      </c>
      <c r="G22" s="37"/>
      <c r="H22" s="37"/>
      <c r="I22" s="38" t="str">
        <f aca="false">IF(COUNT(G22,H22)=0,"",MAX(G22,H22))</f>
        <v/>
      </c>
      <c r="J22" s="37"/>
      <c r="K22" s="37"/>
      <c r="L22" s="37"/>
      <c r="M22" s="38" t="str">
        <f aca="false">IF(I23="","",I23)</f>
        <v/>
      </c>
      <c r="N22" s="38" t="str">
        <f aca="false">IF(I24="","",I24)</f>
        <v/>
      </c>
      <c r="O22" s="38" t="str">
        <f aca="false">IF(OR(M22="",N22=""),"",MAX(M22,N22))</f>
        <v/>
      </c>
      <c r="P22" s="39" t="str">
        <f aca="false">IF(J22="","",IF(I22="","sin referencia",IF(AND(E22="Carrera (≤2/10)",K22=""),"falta K",IF(O22="","pendiente",IF(E22="Carrera (≤2/10)",IF(AND(J22&lt;=2,K22="Sí",M22&lt;=I22,O22&lt;=I22),"Sí","No"),IF(AND(J22&lt;=3,O22&lt;=I22),"Sí","No"))))))</f>
        <v/>
      </c>
      <c r="Q22" s="40"/>
    </row>
    <row r="23" customFormat="false" ht="27" hidden="false" customHeight="true" outlineLevel="0" collapsed="false">
      <c r="A23" s="31" t="n">
        <v>46339</v>
      </c>
      <c r="B23" s="32" t="s">
        <v>355</v>
      </c>
      <c r="C23" s="33" t="s">
        <v>368</v>
      </c>
      <c r="D23" s="34" t="s">
        <v>370</v>
      </c>
      <c r="E23" s="35" t="s">
        <v>343</v>
      </c>
      <c r="F23" s="36" t="s">
        <v>371</v>
      </c>
      <c r="G23" s="37"/>
      <c r="H23" s="37"/>
      <c r="I23" s="38" t="str">
        <f aca="false">IF(COUNT(G23,H23)=0,"",MAX(G23,H23))</f>
        <v/>
      </c>
      <c r="J23" s="37"/>
      <c r="K23" s="37"/>
      <c r="L23" s="37"/>
      <c r="M23" s="38" t="str">
        <f aca="false">IF(I24="","",I24)</f>
        <v/>
      </c>
      <c r="N23" s="38" t="str">
        <f aca="false">IF(I25="","",I25)</f>
        <v/>
      </c>
      <c r="O23" s="38" t="str">
        <f aca="false">IF(OR(M23="",N23=""),"",MAX(M23,N23))</f>
        <v/>
      </c>
      <c r="P23" s="39" t="str">
        <f aca="false">IF(J23="","",IF(I23="","sin referencia",IF(AND(E23="Carrera (≤2/10)",K23=""),"falta K",IF(O23="","pendiente",IF(E23="Carrera (≤2/10)",IF(AND(J23&lt;=2,K23="Sí",M23&lt;=I23,O23&lt;=I23),"Sí","No"),IF(AND(J23&lt;=3,O23&lt;=I23),"Sí","No"))))))</f>
        <v/>
      </c>
      <c r="Q23" s="40"/>
    </row>
    <row r="24" customFormat="false" ht="27" hidden="false" customHeight="true" outlineLevel="0" collapsed="false">
      <c r="A24" s="31" t="n">
        <v>46340</v>
      </c>
      <c r="B24" s="32" t="s">
        <v>357</v>
      </c>
      <c r="C24" s="33" t="s">
        <v>368</v>
      </c>
      <c r="D24" s="34" t="s">
        <v>358</v>
      </c>
      <c r="E24" s="35" t="s">
        <v>191</v>
      </c>
      <c r="F24" s="36" t="s">
        <v>191</v>
      </c>
      <c r="G24" s="37"/>
      <c r="H24" s="37"/>
      <c r="I24" s="38" t="str">
        <f aca="false">IF(COUNT(G24,H24)=0,"",MAX(G24,H24))</f>
        <v/>
      </c>
      <c r="J24" s="37"/>
      <c r="K24" s="37"/>
      <c r="L24" s="37"/>
      <c r="M24" s="38" t="str">
        <f aca="false">IF(I25="","",I25)</f>
        <v/>
      </c>
      <c r="N24" s="38" t="str">
        <f aca="false">IF(I26="","",I26)</f>
        <v/>
      </c>
      <c r="O24" s="38" t="str">
        <f aca="false">IF(OR(M24="",N24=""),"",MAX(M24,N24))</f>
        <v/>
      </c>
      <c r="P24" s="39" t="str">
        <f aca="false">IF(J24="","",IF(I24="","sin referencia",IF(AND(E24="Carrera (≤2/10)",K24=""),"falta K",IF(O24="","pendiente",IF(E24="Carrera (≤2/10)",IF(AND(J24&lt;=2,K24="Sí",M24&lt;=I24,O24&lt;=I24),"Sí","No"),IF(AND(J24&lt;=3,O24&lt;=I24),"Sí","No"))))))</f>
        <v/>
      </c>
      <c r="Q24" s="40"/>
    </row>
    <row r="25" customFormat="false" ht="27" hidden="false" customHeight="true" outlineLevel="0" collapsed="false">
      <c r="A25" s="31" t="n">
        <v>46341</v>
      </c>
      <c r="B25" s="32" t="s">
        <v>359</v>
      </c>
      <c r="C25" s="33" t="s">
        <v>368</v>
      </c>
      <c r="D25" s="34" t="s">
        <v>360</v>
      </c>
      <c r="E25" s="35" t="s">
        <v>347</v>
      </c>
      <c r="F25" s="36" t="s">
        <v>361</v>
      </c>
      <c r="G25" s="37"/>
      <c r="H25" s="37"/>
      <c r="I25" s="38" t="str">
        <f aca="false">IF(COUNT(G25,H25)=0,"",MAX(G25,H25))</f>
        <v/>
      </c>
      <c r="J25" s="37"/>
      <c r="K25" s="37"/>
      <c r="L25" s="37"/>
      <c r="M25" s="38" t="str">
        <f aca="false">IF(I26="","",I26)</f>
        <v/>
      </c>
      <c r="N25" s="38" t="str">
        <f aca="false">IF(I27="","",I27)</f>
        <v/>
      </c>
      <c r="O25" s="38" t="str">
        <f aca="false">IF(OR(M25="",N25=""),"",MAX(M25,N25))</f>
        <v/>
      </c>
      <c r="P25" s="39" t="str">
        <f aca="false">IF(J25="","",IF(I25="","sin referencia",IF(AND(E25="Carrera (≤2/10)",K25=""),"falta K",IF(O25="","pendiente",IF(E25="Carrera (≤2/10)",IF(AND(J25&lt;=2,K25="Sí",M25&lt;=I25,O25&lt;=I25),"Sí","No"),IF(AND(J25&lt;=3,O25&lt;=I25),"Sí","No"))))))</f>
        <v/>
      </c>
      <c r="Q25" s="40"/>
    </row>
    <row r="26" customFormat="false" ht="27" hidden="false" customHeight="true" outlineLevel="0" collapsed="false">
      <c r="A26" s="41" t="n">
        <v>46342</v>
      </c>
      <c r="B26" s="42" t="s">
        <v>340</v>
      </c>
      <c r="C26" s="43" t="s">
        <v>372</v>
      </c>
      <c r="D26" s="44" t="s">
        <v>342</v>
      </c>
      <c r="E26" s="45" t="s">
        <v>343</v>
      </c>
      <c r="F26" s="46" t="s">
        <v>373</v>
      </c>
      <c r="G26" s="37"/>
      <c r="H26" s="37"/>
      <c r="I26" s="38" t="str">
        <f aca="false">IF(COUNT(G26,H26)=0,"",MAX(G26,H26))</f>
        <v/>
      </c>
      <c r="J26" s="37"/>
      <c r="K26" s="37"/>
      <c r="L26" s="37"/>
      <c r="M26" s="38" t="str">
        <f aca="false">IF(I27="","",I27)</f>
        <v/>
      </c>
      <c r="N26" s="38" t="str">
        <f aca="false">IF(I28="","",I28)</f>
        <v/>
      </c>
      <c r="O26" s="38" t="str">
        <f aca="false">IF(OR(M26="",N26=""),"",MAX(M26,N26))</f>
        <v/>
      </c>
      <c r="P26" s="39" t="str">
        <f aca="false">IF(J26="","",IF(I26="","sin referencia",IF(AND(E26="Carrera (≤2/10)",K26=""),"falta K",IF(O26="","pendiente",IF(E26="Carrera (≤2/10)",IF(AND(J26&lt;=2,K26="Sí",M26&lt;=I26,O26&lt;=I26),"Sí","No"),IF(AND(J26&lt;=3,O26&lt;=I26),"Sí","No"))))))</f>
        <v/>
      </c>
      <c r="Q26" s="40"/>
    </row>
    <row r="27" customFormat="false" ht="27" hidden="false" customHeight="true" outlineLevel="0" collapsed="false">
      <c r="A27" s="41" t="n">
        <v>46343</v>
      </c>
      <c r="B27" s="42" t="s">
        <v>345</v>
      </c>
      <c r="C27" s="43" t="s">
        <v>372</v>
      </c>
      <c r="D27" s="44" t="s">
        <v>374</v>
      </c>
      <c r="E27" s="45" t="s">
        <v>343</v>
      </c>
      <c r="F27" s="46" t="s">
        <v>191</v>
      </c>
      <c r="G27" s="37"/>
      <c r="H27" s="37"/>
      <c r="I27" s="38" t="str">
        <f aca="false">IF(COUNT(G27,H27)=0,"",MAX(G27,H27))</f>
        <v/>
      </c>
      <c r="J27" s="37"/>
      <c r="K27" s="37"/>
      <c r="L27" s="37"/>
      <c r="M27" s="38" t="str">
        <f aca="false">IF(I28="","",I28)</f>
        <v/>
      </c>
      <c r="N27" s="38" t="str">
        <f aca="false">IF(I29="","",I29)</f>
        <v/>
      </c>
      <c r="O27" s="38" t="str">
        <f aca="false">IF(OR(M27="",N27=""),"",MAX(M27,N27))</f>
        <v/>
      </c>
      <c r="P27" s="39" t="str">
        <f aca="false">IF(J27="","",IF(I27="","sin referencia",IF(AND(E27="Carrera (≤2/10)",K27=""),"falta K",IF(O27="","pendiente",IF(E27="Carrera (≤2/10)",IF(AND(J27&lt;=2,K27="Sí",M27&lt;=I27,O27&lt;=I27),"Sí","No"),IF(AND(J27&lt;=3,O27&lt;=I27),"Sí","No"))))))</f>
        <v/>
      </c>
      <c r="Q27" s="40"/>
    </row>
    <row r="28" customFormat="false" ht="27" hidden="false" customHeight="true" outlineLevel="0" collapsed="false">
      <c r="A28" s="41" t="n">
        <v>46344</v>
      </c>
      <c r="B28" s="42" t="s">
        <v>349</v>
      </c>
      <c r="C28" s="43" t="s">
        <v>372</v>
      </c>
      <c r="D28" s="44" t="s">
        <v>365</v>
      </c>
      <c r="E28" s="45" t="s">
        <v>347</v>
      </c>
      <c r="F28" s="46" t="s">
        <v>375</v>
      </c>
      <c r="G28" s="37"/>
      <c r="H28" s="37"/>
      <c r="I28" s="38" t="str">
        <f aca="false">IF(COUNT(G28,H28)=0,"",MAX(G28,H28))</f>
        <v/>
      </c>
      <c r="J28" s="37"/>
      <c r="K28" s="37"/>
      <c r="L28" s="37"/>
      <c r="M28" s="38" t="str">
        <f aca="false">IF(I29="","",I29)</f>
        <v/>
      </c>
      <c r="N28" s="38" t="str">
        <f aca="false">IF(I30="","",I30)</f>
        <v/>
      </c>
      <c r="O28" s="38" t="str">
        <f aca="false">IF(OR(M28="",N28=""),"",MAX(M28,N28))</f>
        <v/>
      </c>
      <c r="P28" s="39" t="str">
        <f aca="false">IF(J28="","",IF(I28="","sin referencia",IF(AND(E28="Carrera (≤2/10)",K28=""),"falta K",IF(O28="","pendiente",IF(E28="Carrera (≤2/10)",IF(AND(J28&lt;=2,K28="Sí",M28&lt;=I28,O28&lt;=I28),"Sí","No"),IF(AND(J28&lt;=3,O28&lt;=I28),"Sí","No"))))))</f>
        <v/>
      </c>
      <c r="Q28" s="40"/>
    </row>
    <row r="29" customFormat="false" ht="27" hidden="false" customHeight="true" outlineLevel="0" collapsed="false">
      <c r="A29" s="41" t="n">
        <v>46345</v>
      </c>
      <c r="B29" s="42" t="s">
        <v>352</v>
      </c>
      <c r="C29" s="43" t="s">
        <v>372</v>
      </c>
      <c r="D29" s="44" t="s">
        <v>353</v>
      </c>
      <c r="E29" s="45" t="s">
        <v>343</v>
      </c>
      <c r="F29" s="46" t="s">
        <v>376</v>
      </c>
      <c r="G29" s="37"/>
      <c r="H29" s="37"/>
      <c r="I29" s="38" t="str">
        <f aca="false">IF(COUNT(G29,H29)=0,"",MAX(G29,H29))</f>
        <v/>
      </c>
      <c r="J29" s="37"/>
      <c r="K29" s="37"/>
      <c r="L29" s="37"/>
      <c r="M29" s="38" t="str">
        <f aca="false">IF(I30="","",I30)</f>
        <v/>
      </c>
      <c r="N29" s="38" t="str">
        <f aca="false">IF(I31="","",I31)</f>
        <v/>
      </c>
      <c r="O29" s="38" t="str">
        <f aca="false">IF(OR(M29="",N29=""),"",MAX(M29,N29))</f>
        <v/>
      </c>
      <c r="P29" s="39" t="str">
        <f aca="false">IF(J29="","",IF(I29="","sin referencia",IF(AND(E29="Carrera (≤2/10)",K29=""),"falta K",IF(O29="","pendiente",IF(E29="Carrera (≤2/10)",IF(AND(J29&lt;=2,K29="Sí",M29&lt;=I29,O29&lt;=I29),"Sí","No"),IF(AND(J29&lt;=3,O29&lt;=I29),"Sí","No"))))))</f>
        <v/>
      </c>
      <c r="Q29" s="40"/>
    </row>
    <row r="30" customFormat="false" ht="27" hidden="false" customHeight="true" outlineLevel="0" collapsed="false">
      <c r="A30" s="41" t="n">
        <v>46346</v>
      </c>
      <c r="B30" s="42" t="s">
        <v>355</v>
      </c>
      <c r="C30" s="43" t="s">
        <v>372</v>
      </c>
      <c r="D30" s="44" t="s">
        <v>377</v>
      </c>
      <c r="E30" s="45" t="s">
        <v>343</v>
      </c>
      <c r="F30" s="46" t="s">
        <v>191</v>
      </c>
      <c r="G30" s="37"/>
      <c r="H30" s="37"/>
      <c r="I30" s="38" t="str">
        <f aca="false">IF(COUNT(G30,H30)=0,"",MAX(G30,H30))</f>
        <v/>
      </c>
      <c r="J30" s="37"/>
      <c r="K30" s="37"/>
      <c r="L30" s="37"/>
      <c r="M30" s="38" t="str">
        <f aca="false">IF(I31="","",I31)</f>
        <v/>
      </c>
      <c r="N30" s="38" t="str">
        <f aca="false">IF(I32="","",I32)</f>
        <v/>
      </c>
      <c r="O30" s="38" t="str">
        <f aca="false">IF(OR(M30="",N30=""),"",MAX(M30,N30))</f>
        <v/>
      </c>
      <c r="P30" s="39" t="str">
        <f aca="false">IF(J30="","",IF(I30="","sin referencia",IF(AND(E30="Carrera (≤2/10)",K30=""),"falta K",IF(O30="","pendiente",IF(E30="Carrera (≤2/10)",IF(AND(J30&lt;=2,K30="Sí",M30&lt;=I30,O30&lt;=I30),"Sí","No"),IF(AND(J30&lt;=3,O30&lt;=I30),"Sí","No"))))))</f>
        <v/>
      </c>
      <c r="Q30" s="40"/>
    </row>
    <row r="31" customFormat="false" ht="27" hidden="false" customHeight="true" outlineLevel="0" collapsed="false">
      <c r="A31" s="41" t="n">
        <v>46347</v>
      </c>
      <c r="B31" s="42" t="s">
        <v>357</v>
      </c>
      <c r="C31" s="43" t="s">
        <v>372</v>
      </c>
      <c r="D31" s="44" t="s">
        <v>358</v>
      </c>
      <c r="E31" s="45" t="s">
        <v>191</v>
      </c>
      <c r="F31" s="46" t="s">
        <v>191</v>
      </c>
      <c r="G31" s="37"/>
      <c r="H31" s="37"/>
      <c r="I31" s="38" t="str">
        <f aca="false">IF(COUNT(G31,H31)=0,"",MAX(G31,H31))</f>
        <v/>
      </c>
      <c r="J31" s="37"/>
      <c r="K31" s="37"/>
      <c r="L31" s="37"/>
      <c r="M31" s="38" t="str">
        <f aca="false">IF(I32="","",I32)</f>
        <v/>
      </c>
      <c r="N31" s="38" t="str">
        <f aca="false">IF(I33="","",I33)</f>
        <v/>
      </c>
      <c r="O31" s="38" t="str">
        <f aca="false">IF(OR(M31="",N31=""),"",MAX(M31,N31))</f>
        <v/>
      </c>
      <c r="P31" s="39" t="str">
        <f aca="false">IF(J31="","",IF(I31="","sin referencia",IF(AND(E31="Carrera (≤2/10)",K31=""),"falta K",IF(O31="","pendiente",IF(E31="Carrera (≤2/10)",IF(AND(J31&lt;=2,K31="Sí",M31&lt;=I31,O31&lt;=I31),"Sí","No"),IF(AND(J31&lt;=3,O31&lt;=I31),"Sí","No"))))))</f>
        <v/>
      </c>
      <c r="Q31" s="40"/>
    </row>
    <row r="32" customFormat="false" ht="27" hidden="false" customHeight="true" outlineLevel="0" collapsed="false">
      <c r="A32" s="41" t="n">
        <v>46348</v>
      </c>
      <c r="B32" s="42" t="s">
        <v>359</v>
      </c>
      <c r="C32" s="43" t="s">
        <v>372</v>
      </c>
      <c r="D32" s="44" t="s">
        <v>360</v>
      </c>
      <c r="E32" s="45" t="s">
        <v>347</v>
      </c>
      <c r="F32" s="46" t="s">
        <v>361</v>
      </c>
      <c r="G32" s="37"/>
      <c r="H32" s="37"/>
      <c r="I32" s="38" t="str">
        <f aca="false">IF(COUNT(G32,H32)=0,"",MAX(G32,H32))</f>
        <v/>
      </c>
      <c r="J32" s="37"/>
      <c r="K32" s="37"/>
      <c r="L32" s="37"/>
      <c r="M32" s="38" t="str">
        <f aca="false">IF(I33="","",I33)</f>
        <v/>
      </c>
      <c r="N32" s="38" t="str">
        <f aca="false">IF(I34="","",I34)</f>
        <v/>
      </c>
      <c r="O32" s="38" t="str">
        <f aca="false">IF(OR(M32="",N32=""),"",MAX(M32,N32))</f>
        <v/>
      </c>
      <c r="P32" s="39" t="str">
        <f aca="false">IF(J32="","",IF(I32="","sin referencia",IF(AND(E32="Carrera (≤2/10)",K32=""),"falta K",IF(O32="","pendiente",IF(E32="Carrera (≤2/10)",IF(AND(J32&lt;=2,K32="Sí",M32&lt;=I32,O32&lt;=I32),"Sí","No"),IF(AND(J32&lt;=3,O32&lt;=I32),"Sí","No"))))))</f>
        <v/>
      </c>
      <c r="Q32" s="40"/>
    </row>
    <row r="33" customFormat="false" ht="27" hidden="false" customHeight="true" outlineLevel="0" collapsed="false">
      <c r="A33" s="31" t="n">
        <v>46349</v>
      </c>
      <c r="B33" s="32" t="s">
        <v>340</v>
      </c>
      <c r="C33" s="33" t="s">
        <v>378</v>
      </c>
      <c r="D33" s="34" t="s">
        <v>342</v>
      </c>
      <c r="E33" s="35" t="s">
        <v>343</v>
      </c>
      <c r="F33" s="36" t="s">
        <v>363</v>
      </c>
      <c r="G33" s="37"/>
      <c r="H33" s="37"/>
      <c r="I33" s="38" t="str">
        <f aca="false">IF(COUNT(G33,H33)=0,"",MAX(G33,H33))</f>
        <v/>
      </c>
      <c r="J33" s="37"/>
      <c r="K33" s="37"/>
      <c r="L33" s="37"/>
      <c r="M33" s="38" t="str">
        <f aca="false">IF(I34="","",I34)</f>
        <v/>
      </c>
      <c r="N33" s="38" t="str">
        <f aca="false">IF(I35="","",I35)</f>
        <v/>
      </c>
      <c r="O33" s="38" t="str">
        <f aca="false">IF(OR(M33="",N33=""),"",MAX(M33,N33))</f>
        <v/>
      </c>
      <c r="P33" s="39" t="str">
        <f aca="false">IF(J33="","",IF(I33="","sin referencia",IF(AND(E33="Carrera (≤2/10)",K33=""),"falta K",IF(O33="","pendiente",IF(E33="Carrera (≤2/10)",IF(AND(J33&lt;=2,K33="Sí",M33&lt;=I33,O33&lt;=I33),"Sí","No"),IF(AND(J33&lt;=3,O33&lt;=I33),"Sí","No"))))))</f>
        <v/>
      </c>
      <c r="Q33" s="40"/>
    </row>
    <row r="34" customFormat="false" ht="27" hidden="false" customHeight="true" outlineLevel="0" collapsed="false">
      <c r="A34" s="31" t="n">
        <v>46350</v>
      </c>
      <c r="B34" s="32" t="s">
        <v>345</v>
      </c>
      <c r="C34" s="33" t="s">
        <v>378</v>
      </c>
      <c r="D34" s="34" t="s">
        <v>374</v>
      </c>
      <c r="E34" s="35" t="s">
        <v>343</v>
      </c>
      <c r="F34" s="36" t="s">
        <v>191</v>
      </c>
      <c r="G34" s="37"/>
      <c r="H34" s="37"/>
      <c r="I34" s="38" t="str">
        <f aca="false">IF(COUNT(G34,H34)=0,"",MAX(G34,H34))</f>
        <v/>
      </c>
      <c r="J34" s="37"/>
      <c r="K34" s="37"/>
      <c r="L34" s="37"/>
      <c r="M34" s="38" t="str">
        <f aca="false">IF(I35="","",I35)</f>
        <v/>
      </c>
      <c r="N34" s="38" t="str">
        <f aca="false">IF(I36="","",I36)</f>
        <v/>
      </c>
      <c r="O34" s="38" t="str">
        <f aca="false">IF(OR(M34="",N34=""),"",MAX(M34,N34))</f>
        <v/>
      </c>
      <c r="P34" s="39" t="str">
        <f aca="false">IF(J34="","",IF(I34="","sin referencia",IF(AND(E34="Carrera (≤2/10)",K34=""),"falta K",IF(O34="","pendiente",IF(E34="Carrera (≤2/10)",IF(AND(J34&lt;=2,K34="Sí",M34&lt;=I34,O34&lt;=I34),"Sí","No"),IF(AND(J34&lt;=3,O34&lt;=I34),"Sí","No"))))))</f>
        <v/>
      </c>
      <c r="Q34" s="40"/>
    </row>
    <row r="35" customFormat="false" ht="27" hidden="false" customHeight="true" outlineLevel="0" collapsed="false">
      <c r="A35" s="31" t="n">
        <v>46351</v>
      </c>
      <c r="B35" s="32" t="s">
        <v>349</v>
      </c>
      <c r="C35" s="33" t="s">
        <v>378</v>
      </c>
      <c r="D35" s="34" t="s">
        <v>365</v>
      </c>
      <c r="E35" s="35" t="s">
        <v>347</v>
      </c>
      <c r="F35" s="36" t="s">
        <v>379</v>
      </c>
      <c r="G35" s="37"/>
      <c r="H35" s="37"/>
      <c r="I35" s="38" t="str">
        <f aca="false">IF(COUNT(G35,H35)=0,"",MAX(G35,H35))</f>
        <v/>
      </c>
      <c r="J35" s="37"/>
      <c r="K35" s="37"/>
      <c r="L35" s="37"/>
      <c r="M35" s="38" t="str">
        <f aca="false">IF(I36="","",I36)</f>
        <v/>
      </c>
      <c r="N35" s="38" t="str">
        <f aca="false">IF(I37="","",I37)</f>
        <v/>
      </c>
      <c r="O35" s="38" t="str">
        <f aca="false">IF(OR(M35="",N35=""),"",MAX(M35,N35))</f>
        <v/>
      </c>
      <c r="P35" s="39" t="str">
        <f aca="false">IF(J35="","",IF(I35="","sin referencia",IF(AND(E35="Carrera (≤2/10)",K35=""),"falta K",IF(O35="","pendiente",IF(E35="Carrera (≤2/10)",IF(AND(J35&lt;=2,K35="Sí",M35&lt;=I35,O35&lt;=I35),"Sí","No"),IF(AND(J35&lt;=3,O35&lt;=I35),"Sí","No"))))))</f>
        <v/>
      </c>
      <c r="Q35" s="40"/>
    </row>
    <row r="36" customFormat="false" ht="27" hidden="false" customHeight="true" outlineLevel="0" collapsed="false">
      <c r="A36" s="31" t="n">
        <v>46352</v>
      </c>
      <c r="B36" s="32" t="s">
        <v>352</v>
      </c>
      <c r="C36" s="33" t="s">
        <v>378</v>
      </c>
      <c r="D36" s="34" t="s">
        <v>367</v>
      </c>
      <c r="E36" s="35" t="s">
        <v>343</v>
      </c>
      <c r="F36" s="36" t="s">
        <v>191</v>
      </c>
      <c r="G36" s="37"/>
      <c r="H36" s="37"/>
      <c r="I36" s="38" t="str">
        <f aca="false">IF(COUNT(G36,H36)=0,"",MAX(G36,H36))</f>
        <v/>
      </c>
      <c r="J36" s="37"/>
      <c r="K36" s="37"/>
      <c r="L36" s="37"/>
      <c r="M36" s="38" t="str">
        <f aca="false">IF(I37="","",I37)</f>
        <v/>
      </c>
      <c r="N36" s="38" t="str">
        <f aca="false">IF(I38="","",I38)</f>
        <v/>
      </c>
      <c r="O36" s="38" t="str">
        <f aca="false">IF(OR(M36="",N36=""),"",MAX(M36,N36))</f>
        <v/>
      </c>
      <c r="P36" s="39" t="str">
        <f aca="false">IF(J36="","",IF(I36="","sin referencia",IF(AND(E36="Carrera (≤2/10)",K36=""),"falta K",IF(O36="","pendiente",IF(E36="Carrera (≤2/10)",IF(AND(J36&lt;=2,K36="Sí",M36&lt;=I36,O36&lt;=I36),"Sí","No"),IF(AND(J36&lt;=3,O36&lt;=I36),"Sí","No"))))))</f>
        <v/>
      </c>
      <c r="Q36" s="40"/>
    </row>
    <row r="37" customFormat="false" ht="27" hidden="false" customHeight="true" outlineLevel="0" collapsed="false">
      <c r="A37" s="31" t="n">
        <v>46353</v>
      </c>
      <c r="B37" s="32" t="s">
        <v>355</v>
      </c>
      <c r="C37" s="33" t="s">
        <v>378</v>
      </c>
      <c r="D37" s="34" t="s">
        <v>377</v>
      </c>
      <c r="E37" s="35" t="s">
        <v>343</v>
      </c>
      <c r="F37" s="36" t="s">
        <v>191</v>
      </c>
      <c r="G37" s="37"/>
      <c r="H37" s="37"/>
      <c r="I37" s="38" t="str">
        <f aca="false">IF(COUNT(G37,H37)=0,"",MAX(G37,H37))</f>
        <v/>
      </c>
      <c r="J37" s="37"/>
      <c r="K37" s="37"/>
      <c r="L37" s="37"/>
      <c r="M37" s="38" t="str">
        <f aca="false">IF(I38="","",I38)</f>
        <v/>
      </c>
      <c r="N37" s="38" t="str">
        <f aca="false">IF(I39="","",I39)</f>
        <v/>
      </c>
      <c r="O37" s="38" t="str">
        <f aca="false">IF(OR(M37="",N37=""),"",MAX(M37,N37))</f>
        <v/>
      </c>
      <c r="P37" s="39" t="str">
        <f aca="false">IF(J37="","",IF(I37="","sin referencia",IF(AND(E37="Carrera (≤2/10)",K37=""),"falta K",IF(O37="","pendiente",IF(E37="Carrera (≤2/10)",IF(AND(J37&lt;=2,K37="Sí",M37&lt;=I37,O37&lt;=I37),"Sí","No"),IF(AND(J37&lt;=3,O37&lt;=I37),"Sí","No"))))))</f>
        <v/>
      </c>
      <c r="Q37" s="40"/>
    </row>
    <row r="38" customFormat="false" ht="27" hidden="false" customHeight="true" outlineLevel="0" collapsed="false">
      <c r="A38" s="31" t="n">
        <v>46354</v>
      </c>
      <c r="B38" s="32" t="s">
        <v>357</v>
      </c>
      <c r="C38" s="33" t="s">
        <v>378</v>
      </c>
      <c r="D38" s="34" t="s">
        <v>358</v>
      </c>
      <c r="E38" s="35" t="s">
        <v>191</v>
      </c>
      <c r="F38" s="36" t="s">
        <v>191</v>
      </c>
      <c r="G38" s="37"/>
      <c r="H38" s="37"/>
      <c r="I38" s="38" t="str">
        <f aca="false">IF(COUNT(G38,H38)=0,"",MAX(G38,H38))</f>
        <v/>
      </c>
      <c r="J38" s="37"/>
      <c r="K38" s="37"/>
      <c r="L38" s="37"/>
      <c r="M38" s="38" t="str">
        <f aca="false">IF(I39="","",I39)</f>
        <v/>
      </c>
      <c r="N38" s="38" t="str">
        <f aca="false">IF(I40="","",I40)</f>
        <v/>
      </c>
      <c r="O38" s="38" t="str">
        <f aca="false">IF(OR(M38="",N38=""),"",MAX(M38,N38))</f>
        <v/>
      </c>
      <c r="P38" s="39" t="str">
        <f aca="false">IF(J38="","",IF(I38="","sin referencia",IF(AND(E38="Carrera (≤2/10)",K38=""),"falta K",IF(O38="","pendiente",IF(E38="Carrera (≤2/10)",IF(AND(J38&lt;=2,K38="Sí",M38&lt;=I38,O38&lt;=I38),"Sí","No"),IF(AND(J38&lt;=3,O38&lt;=I38),"Sí","No"))))))</f>
        <v/>
      </c>
      <c r="Q38" s="40"/>
    </row>
    <row r="39" customFormat="false" ht="27" hidden="false" customHeight="true" outlineLevel="0" collapsed="false">
      <c r="A39" s="31" t="n">
        <v>46355</v>
      </c>
      <c r="B39" s="32" t="s">
        <v>359</v>
      </c>
      <c r="C39" s="33" t="s">
        <v>378</v>
      </c>
      <c r="D39" s="34" t="s">
        <v>360</v>
      </c>
      <c r="E39" s="35" t="s">
        <v>347</v>
      </c>
      <c r="F39" s="36" t="s">
        <v>361</v>
      </c>
      <c r="G39" s="37"/>
      <c r="H39" s="37"/>
      <c r="I39" s="38" t="str">
        <f aca="false">IF(COUNT(G39,H39)=0,"",MAX(G39,H39))</f>
        <v/>
      </c>
      <c r="J39" s="37"/>
      <c r="K39" s="37"/>
      <c r="L39" s="37"/>
      <c r="M39" s="38" t="str">
        <f aca="false">IF(I40="","",I40)</f>
        <v/>
      </c>
      <c r="N39" s="38" t="str">
        <f aca="false">IF(I41="","",I41)</f>
        <v/>
      </c>
      <c r="O39" s="38" t="str">
        <f aca="false">IF(OR(M39="",N39=""),"",MAX(M39,N39))</f>
        <v/>
      </c>
      <c r="P39" s="39" t="str">
        <f aca="false">IF(J39="","",IF(I39="","sin referencia",IF(AND(E39="Carrera (≤2/10)",K39=""),"falta K",IF(O39="","pendiente",IF(E39="Carrera (≤2/10)",IF(AND(J39&lt;=2,K39="Sí",M39&lt;=I39,O39&lt;=I39),"Sí","No"),IF(AND(J39&lt;=3,O39&lt;=I39),"Sí","No"))))))</f>
        <v/>
      </c>
      <c r="Q39" s="40"/>
    </row>
    <row r="40" customFormat="false" ht="27" hidden="false" customHeight="true" outlineLevel="0" collapsed="false">
      <c r="A40" s="41" t="n">
        <v>46356</v>
      </c>
      <c r="B40" s="42" t="s">
        <v>340</v>
      </c>
      <c r="C40" s="43" t="s">
        <v>380</v>
      </c>
      <c r="D40" s="44" t="s">
        <v>342</v>
      </c>
      <c r="E40" s="45" t="s">
        <v>343</v>
      </c>
      <c r="F40" s="46" t="s">
        <v>363</v>
      </c>
      <c r="G40" s="37"/>
      <c r="H40" s="37"/>
      <c r="I40" s="38" t="str">
        <f aca="false">IF(COUNT(G40,H40)=0,"",MAX(G40,H40))</f>
        <v/>
      </c>
      <c r="J40" s="37"/>
      <c r="K40" s="37"/>
      <c r="L40" s="37"/>
      <c r="M40" s="38" t="str">
        <f aca="false">IF(I41="","",I41)</f>
        <v/>
      </c>
      <c r="N40" s="38" t="str">
        <f aca="false">IF(I42="","",I42)</f>
        <v/>
      </c>
      <c r="O40" s="38" t="str">
        <f aca="false">IF(OR(M40="",N40=""),"",MAX(M40,N40))</f>
        <v/>
      </c>
      <c r="P40" s="39" t="str">
        <f aca="false">IF(J40="","",IF(I40="","sin referencia",IF(AND(E40="Carrera (≤2/10)",K40=""),"falta K",IF(O40="","pendiente",IF(E40="Carrera (≤2/10)",IF(AND(J40&lt;=2,K40="Sí",M40&lt;=I40,O40&lt;=I40),"Sí","No"),IF(AND(J40&lt;=3,O40&lt;=I40),"Sí","No"))))))</f>
        <v/>
      </c>
      <c r="Q40" s="40"/>
    </row>
    <row r="41" customFormat="false" ht="27" hidden="false" customHeight="true" outlineLevel="0" collapsed="false">
      <c r="A41" s="41" t="n">
        <v>46357</v>
      </c>
      <c r="B41" s="42" t="s">
        <v>345</v>
      </c>
      <c r="C41" s="43" t="s">
        <v>380</v>
      </c>
      <c r="D41" s="44" t="s">
        <v>374</v>
      </c>
      <c r="E41" s="45" t="s">
        <v>343</v>
      </c>
      <c r="F41" s="46" t="s">
        <v>191</v>
      </c>
      <c r="G41" s="37"/>
      <c r="H41" s="37"/>
      <c r="I41" s="38" t="str">
        <f aca="false">IF(COUNT(G41,H41)=0,"",MAX(G41,H41))</f>
        <v/>
      </c>
      <c r="J41" s="37"/>
      <c r="K41" s="37"/>
      <c r="L41" s="37"/>
      <c r="M41" s="38" t="str">
        <f aca="false">IF(I42="","",I42)</f>
        <v/>
      </c>
      <c r="N41" s="38" t="str">
        <f aca="false">IF(I43="","",I43)</f>
        <v/>
      </c>
      <c r="O41" s="38" t="str">
        <f aca="false">IF(OR(M41="",N41=""),"",MAX(M41,N41))</f>
        <v/>
      </c>
      <c r="P41" s="39" t="str">
        <f aca="false">IF(J41="","",IF(I41="","sin referencia",IF(AND(E41="Carrera (≤2/10)",K41=""),"falta K",IF(O41="","pendiente",IF(E41="Carrera (≤2/10)",IF(AND(J41&lt;=2,K41="Sí",M41&lt;=I41,O41&lt;=I41),"Sí","No"),IF(AND(J41&lt;=3,O41&lt;=I41),"Sí","No"))))))</f>
        <v/>
      </c>
      <c r="Q41" s="40"/>
    </row>
    <row r="42" customFormat="false" ht="27" hidden="false" customHeight="true" outlineLevel="0" collapsed="false">
      <c r="A42" s="41" t="n">
        <v>46358</v>
      </c>
      <c r="B42" s="42" t="s">
        <v>349</v>
      </c>
      <c r="C42" s="43" t="s">
        <v>380</v>
      </c>
      <c r="D42" s="44" t="s">
        <v>365</v>
      </c>
      <c r="E42" s="45" t="s">
        <v>347</v>
      </c>
      <c r="F42" s="46" t="s">
        <v>381</v>
      </c>
      <c r="G42" s="37"/>
      <c r="H42" s="37"/>
      <c r="I42" s="38" t="str">
        <f aca="false">IF(COUNT(G42,H42)=0,"",MAX(G42,H42))</f>
        <v/>
      </c>
      <c r="J42" s="37"/>
      <c r="K42" s="37"/>
      <c r="L42" s="37"/>
      <c r="M42" s="38" t="str">
        <f aca="false">IF(I43="","",I43)</f>
        <v/>
      </c>
      <c r="N42" s="38" t="str">
        <f aca="false">IF(I44="","",I44)</f>
        <v/>
      </c>
      <c r="O42" s="38" t="str">
        <f aca="false">IF(OR(M42="",N42=""),"",MAX(M42,N42))</f>
        <v/>
      </c>
      <c r="P42" s="39" t="str">
        <f aca="false">IF(J42="","",IF(I42="","sin referencia",IF(AND(E42="Carrera (≤2/10)",K42=""),"falta K",IF(O42="","pendiente",IF(E42="Carrera (≤2/10)",IF(AND(J42&lt;=2,K42="Sí",M42&lt;=I42,O42&lt;=I42),"Sí","No"),IF(AND(J42&lt;=3,O42&lt;=I42),"Sí","No"))))))</f>
        <v/>
      </c>
      <c r="Q42" s="40"/>
    </row>
    <row r="43" customFormat="false" ht="27" hidden="false" customHeight="true" outlineLevel="0" collapsed="false">
      <c r="A43" s="41" t="n">
        <v>46359</v>
      </c>
      <c r="B43" s="42" t="s">
        <v>352</v>
      </c>
      <c r="C43" s="43" t="s">
        <v>380</v>
      </c>
      <c r="D43" s="44" t="s">
        <v>353</v>
      </c>
      <c r="E43" s="45" t="s">
        <v>343</v>
      </c>
      <c r="F43" s="46" t="s">
        <v>382</v>
      </c>
      <c r="G43" s="37"/>
      <c r="H43" s="37"/>
      <c r="I43" s="38" t="str">
        <f aca="false">IF(COUNT(G43,H43)=0,"",MAX(G43,H43))</f>
        <v/>
      </c>
      <c r="J43" s="37"/>
      <c r="K43" s="37"/>
      <c r="L43" s="37"/>
      <c r="M43" s="38" t="str">
        <f aca="false">IF(I44="","",I44)</f>
        <v/>
      </c>
      <c r="N43" s="38" t="str">
        <f aca="false">IF(I45="","",I45)</f>
        <v/>
      </c>
      <c r="O43" s="38" t="str">
        <f aca="false">IF(OR(M43="",N43=""),"",MAX(M43,N43))</f>
        <v/>
      </c>
      <c r="P43" s="39" t="str">
        <f aca="false">IF(J43="","",IF(I43="","sin referencia",IF(AND(E43="Carrera (≤2/10)",K43=""),"falta K",IF(O43="","pendiente",IF(E43="Carrera (≤2/10)",IF(AND(J43&lt;=2,K43="Sí",M43&lt;=I43,O43&lt;=I43),"Sí","No"),IF(AND(J43&lt;=3,O43&lt;=I43),"Sí","No"))))))</f>
        <v/>
      </c>
      <c r="Q43" s="40"/>
    </row>
    <row r="44" customFormat="false" ht="27" hidden="false" customHeight="true" outlineLevel="0" collapsed="false">
      <c r="A44" s="41" t="n">
        <v>46360</v>
      </c>
      <c r="B44" s="42" t="s">
        <v>355</v>
      </c>
      <c r="C44" s="43" t="s">
        <v>380</v>
      </c>
      <c r="D44" s="44" t="s">
        <v>377</v>
      </c>
      <c r="E44" s="45" t="s">
        <v>343</v>
      </c>
      <c r="F44" s="46" t="s">
        <v>191</v>
      </c>
      <c r="G44" s="37"/>
      <c r="H44" s="37"/>
      <c r="I44" s="38" t="str">
        <f aca="false">IF(COUNT(G44,H44)=0,"",MAX(G44,H44))</f>
        <v/>
      </c>
      <c r="J44" s="37"/>
      <c r="K44" s="37"/>
      <c r="L44" s="37"/>
      <c r="M44" s="38" t="str">
        <f aca="false">IF(I45="","",I45)</f>
        <v/>
      </c>
      <c r="N44" s="38" t="str">
        <f aca="false">IF(I46="","",I46)</f>
        <v/>
      </c>
      <c r="O44" s="38" t="str">
        <f aca="false">IF(OR(M44="",N44=""),"",MAX(M44,N44))</f>
        <v/>
      </c>
      <c r="P44" s="39" t="str">
        <f aca="false">IF(J44="","",IF(I44="","sin referencia",IF(AND(E44="Carrera (≤2/10)",K44=""),"falta K",IF(O44="","pendiente",IF(E44="Carrera (≤2/10)",IF(AND(J44&lt;=2,K44="Sí",M44&lt;=I44,O44&lt;=I44),"Sí","No"),IF(AND(J44&lt;=3,O44&lt;=I44),"Sí","No"))))))</f>
        <v/>
      </c>
      <c r="Q44" s="40"/>
    </row>
    <row r="45" customFormat="false" ht="27" hidden="false" customHeight="true" outlineLevel="0" collapsed="false">
      <c r="A45" s="41" t="n">
        <v>46361</v>
      </c>
      <c r="B45" s="42" t="s">
        <v>357</v>
      </c>
      <c r="C45" s="43" t="s">
        <v>380</v>
      </c>
      <c r="D45" s="44" t="s">
        <v>358</v>
      </c>
      <c r="E45" s="45" t="s">
        <v>191</v>
      </c>
      <c r="F45" s="46" t="s">
        <v>191</v>
      </c>
      <c r="G45" s="37"/>
      <c r="H45" s="37"/>
      <c r="I45" s="38" t="str">
        <f aca="false">IF(COUNT(G45,H45)=0,"",MAX(G45,H45))</f>
        <v/>
      </c>
      <c r="J45" s="37"/>
      <c r="K45" s="37"/>
      <c r="L45" s="37"/>
      <c r="M45" s="38" t="str">
        <f aca="false">IF(I46="","",I46)</f>
        <v/>
      </c>
      <c r="N45" s="38" t="str">
        <f aca="false">IF(I47="","",I47)</f>
        <v/>
      </c>
      <c r="O45" s="38" t="str">
        <f aca="false">IF(OR(M45="",N45=""),"",MAX(M45,N45))</f>
        <v/>
      </c>
      <c r="P45" s="39" t="str">
        <f aca="false">IF(J45="","",IF(I45="","sin referencia",IF(AND(E45="Carrera (≤2/10)",K45=""),"falta K",IF(O45="","pendiente",IF(E45="Carrera (≤2/10)",IF(AND(J45&lt;=2,K45="Sí",M45&lt;=I45,O45&lt;=I45),"Sí","No"),IF(AND(J45&lt;=3,O45&lt;=I45),"Sí","No"))))))</f>
        <v/>
      </c>
      <c r="Q45" s="40"/>
    </row>
    <row r="46" customFormat="false" ht="27" hidden="false" customHeight="true" outlineLevel="0" collapsed="false">
      <c r="A46" s="41" t="n">
        <v>46362</v>
      </c>
      <c r="B46" s="42" t="s">
        <v>359</v>
      </c>
      <c r="C46" s="43" t="s">
        <v>380</v>
      </c>
      <c r="D46" s="44" t="s">
        <v>360</v>
      </c>
      <c r="E46" s="45" t="s">
        <v>347</v>
      </c>
      <c r="F46" s="46" t="s">
        <v>361</v>
      </c>
      <c r="G46" s="37"/>
      <c r="H46" s="37"/>
      <c r="I46" s="38" t="str">
        <f aca="false">IF(COUNT(G46,H46)=0,"",MAX(G46,H46))</f>
        <v/>
      </c>
      <c r="J46" s="37"/>
      <c r="K46" s="37"/>
      <c r="L46" s="37"/>
      <c r="M46" s="38" t="str">
        <f aca="false">IF(I47="","",I47)</f>
        <v/>
      </c>
      <c r="N46" s="38" t="str">
        <f aca="false">IF(I48="","",I48)</f>
        <v/>
      </c>
      <c r="O46" s="38" t="str">
        <f aca="false">IF(OR(M46="",N46=""),"",MAX(M46,N46))</f>
        <v/>
      </c>
      <c r="P46" s="39" t="str">
        <f aca="false">IF(J46="","",IF(I46="","sin referencia",IF(AND(E46="Carrera (≤2/10)",K46=""),"falta K",IF(O46="","pendiente",IF(E46="Carrera (≤2/10)",IF(AND(J46&lt;=2,K46="Sí",M46&lt;=I46,O46&lt;=I46),"Sí","No"),IF(AND(J46&lt;=3,O46&lt;=I46),"Sí","No"))))))</f>
        <v/>
      </c>
      <c r="Q46" s="40"/>
    </row>
    <row r="47" customFormat="false" ht="27" hidden="false" customHeight="true" outlineLevel="0" collapsed="false">
      <c r="A47" s="31" t="n">
        <v>46363</v>
      </c>
      <c r="B47" s="32" t="s">
        <v>340</v>
      </c>
      <c r="C47" s="33" t="s">
        <v>383</v>
      </c>
      <c r="D47" s="34" t="s">
        <v>342</v>
      </c>
      <c r="E47" s="35" t="s">
        <v>343</v>
      </c>
      <c r="F47" s="36" t="s">
        <v>384</v>
      </c>
      <c r="G47" s="37"/>
      <c r="H47" s="37"/>
      <c r="I47" s="38" t="str">
        <f aca="false">IF(COUNT(G47,H47)=0,"",MAX(G47,H47))</f>
        <v/>
      </c>
      <c r="J47" s="37"/>
      <c r="K47" s="37"/>
      <c r="L47" s="37"/>
      <c r="M47" s="38" t="str">
        <f aca="false">IF(I48="","",I48)</f>
        <v/>
      </c>
      <c r="N47" s="38" t="str">
        <f aca="false">IF(I49="","",I49)</f>
        <v/>
      </c>
      <c r="O47" s="38" t="str">
        <f aca="false">IF(OR(M47="",N47=""),"",MAX(M47,N47))</f>
        <v/>
      </c>
      <c r="P47" s="39" t="str">
        <f aca="false">IF(J47="","",IF(I47="","sin referencia",IF(AND(E47="Carrera (≤2/10)",K47=""),"falta K",IF(O47="","pendiente",IF(E47="Carrera (≤2/10)",IF(AND(J47&lt;=2,K47="Sí",M47&lt;=I47,O47&lt;=I47),"Sí","No"),IF(AND(J47&lt;=3,O47&lt;=I47),"Sí","No"))))))</f>
        <v/>
      </c>
      <c r="Q47" s="40"/>
    </row>
    <row r="48" customFormat="false" ht="27" hidden="false" customHeight="true" outlineLevel="0" collapsed="false">
      <c r="A48" s="31" t="n">
        <v>46364</v>
      </c>
      <c r="B48" s="32" t="s">
        <v>345</v>
      </c>
      <c r="C48" s="33" t="s">
        <v>383</v>
      </c>
      <c r="D48" s="34" t="s">
        <v>374</v>
      </c>
      <c r="E48" s="35" t="s">
        <v>343</v>
      </c>
      <c r="F48" s="36" t="s">
        <v>191</v>
      </c>
      <c r="G48" s="37"/>
      <c r="H48" s="37"/>
      <c r="I48" s="38" t="str">
        <f aca="false">IF(COUNT(G48,H48)=0,"",MAX(G48,H48))</f>
        <v/>
      </c>
      <c r="J48" s="37"/>
      <c r="K48" s="37"/>
      <c r="L48" s="37"/>
      <c r="M48" s="38" t="str">
        <f aca="false">IF(I49="","",I49)</f>
        <v/>
      </c>
      <c r="N48" s="38" t="str">
        <f aca="false">IF(I50="","",I50)</f>
        <v/>
      </c>
      <c r="O48" s="38" t="str">
        <f aca="false">IF(OR(M48="",N48=""),"",MAX(M48,N48))</f>
        <v/>
      </c>
      <c r="P48" s="39" t="str">
        <f aca="false">IF(J48="","",IF(I48="","sin referencia",IF(AND(E48="Carrera (≤2/10)",K48=""),"falta K",IF(O48="","pendiente",IF(E48="Carrera (≤2/10)",IF(AND(J48&lt;=2,K48="Sí",M48&lt;=I48,O48&lt;=I48),"Sí","No"),IF(AND(J48&lt;=3,O48&lt;=I48),"Sí","No"))))))</f>
        <v/>
      </c>
      <c r="Q48" s="40"/>
    </row>
    <row r="49" customFormat="false" ht="27" hidden="false" customHeight="true" outlineLevel="0" collapsed="false">
      <c r="A49" s="31" t="n">
        <v>46365</v>
      </c>
      <c r="B49" s="32" t="s">
        <v>349</v>
      </c>
      <c r="C49" s="33" t="s">
        <v>383</v>
      </c>
      <c r="D49" s="34" t="s">
        <v>365</v>
      </c>
      <c r="E49" s="35" t="s">
        <v>347</v>
      </c>
      <c r="F49" s="36" t="s">
        <v>385</v>
      </c>
      <c r="G49" s="37"/>
      <c r="H49" s="37"/>
      <c r="I49" s="38" t="str">
        <f aca="false">IF(COUNT(G49,H49)=0,"",MAX(G49,H49))</f>
        <v/>
      </c>
      <c r="J49" s="37"/>
      <c r="K49" s="37"/>
      <c r="L49" s="37"/>
      <c r="M49" s="38" t="str">
        <f aca="false">IF(I50="","",I50)</f>
        <v/>
      </c>
      <c r="N49" s="38" t="str">
        <f aca="false">IF(I51="","",I51)</f>
        <v/>
      </c>
      <c r="O49" s="38" t="str">
        <f aca="false">IF(OR(M49="",N49=""),"",MAX(M49,N49))</f>
        <v/>
      </c>
      <c r="P49" s="39" t="str">
        <f aca="false">IF(J49="","",IF(I49="","sin referencia",IF(AND(E49="Carrera (≤2/10)",K49=""),"falta K",IF(O49="","pendiente",IF(E49="Carrera (≤2/10)",IF(AND(J49&lt;=2,K49="Sí",M49&lt;=I49,O49&lt;=I49),"Sí","No"),IF(AND(J49&lt;=3,O49&lt;=I49),"Sí","No"))))))</f>
        <v/>
      </c>
      <c r="Q49" s="40"/>
    </row>
    <row r="50" customFormat="false" ht="27" hidden="false" customHeight="true" outlineLevel="0" collapsed="false">
      <c r="A50" s="31" t="n">
        <v>46366</v>
      </c>
      <c r="B50" s="32" t="s">
        <v>352</v>
      </c>
      <c r="C50" s="33" t="s">
        <v>383</v>
      </c>
      <c r="D50" s="34" t="s">
        <v>367</v>
      </c>
      <c r="E50" s="35" t="s">
        <v>343</v>
      </c>
      <c r="F50" s="36" t="s">
        <v>386</v>
      </c>
      <c r="G50" s="37"/>
      <c r="H50" s="37"/>
      <c r="I50" s="38" t="str">
        <f aca="false">IF(COUNT(G50,H50)=0,"",MAX(G50,H50))</f>
        <v/>
      </c>
      <c r="J50" s="37"/>
      <c r="K50" s="37"/>
      <c r="L50" s="37"/>
      <c r="M50" s="38" t="str">
        <f aca="false">IF(I51="","",I51)</f>
        <v/>
      </c>
      <c r="N50" s="38" t="str">
        <f aca="false">IF(I52="","",I52)</f>
        <v/>
      </c>
      <c r="O50" s="38" t="str">
        <f aca="false">IF(OR(M50="",N50=""),"",MAX(M50,N50))</f>
        <v/>
      </c>
      <c r="P50" s="39" t="str">
        <f aca="false">IF(J50="","",IF(I50="","sin referencia",IF(AND(E50="Carrera (≤2/10)",K50=""),"falta K",IF(O50="","pendiente",IF(E50="Carrera (≤2/10)",IF(AND(J50&lt;=2,K50="Sí",M50&lt;=I50,O50&lt;=I50),"Sí","No"),IF(AND(J50&lt;=3,O50&lt;=I50),"Sí","No"))))))</f>
        <v/>
      </c>
      <c r="Q50" s="40"/>
    </row>
    <row r="51" customFormat="false" ht="27" hidden="false" customHeight="true" outlineLevel="0" collapsed="false">
      <c r="A51" s="31" t="n">
        <v>46367</v>
      </c>
      <c r="B51" s="32" t="s">
        <v>355</v>
      </c>
      <c r="C51" s="33" t="s">
        <v>383</v>
      </c>
      <c r="D51" s="34" t="s">
        <v>377</v>
      </c>
      <c r="E51" s="35" t="s">
        <v>343</v>
      </c>
      <c r="F51" s="36" t="s">
        <v>191</v>
      </c>
      <c r="G51" s="37"/>
      <c r="H51" s="37"/>
      <c r="I51" s="38" t="str">
        <f aca="false">IF(COUNT(G51,H51)=0,"",MAX(G51,H51))</f>
        <v/>
      </c>
      <c r="J51" s="37"/>
      <c r="K51" s="37"/>
      <c r="L51" s="37"/>
      <c r="M51" s="38" t="str">
        <f aca="false">IF(I52="","",I52)</f>
        <v/>
      </c>
      <c r="N51" s="38" t="str">
        <f aca="false">IF(I53="","",I53)</f>
        <v/>
      </c>
      <c r="O51" s="38" t="str">
        <f aca="false">IF(OR(M51="",N51=""),"",MAX(M51,N51))</f>
        <v/>
      </c>
      <c r="P51" s="39" t="str">
        <f aca="false">IF(J51="","",IF(I51="","sin referencia",IF(AND(E51="Carrera (≤2/10)",K51=""),"falta K",IF(O51="","pendiente",IF(E51="Carrera (≤2/10)",IF(AND(J51&lt;=2,K51="Sí",M51&lt;=I51,O51&lt;=I51),"Sí","No"),IF(AND(J51&lt;=3,O51&lt;=I51),"Sí","No"))))))</f>
        <v/>
      </c>
      <c r="Q51" s="40"/>
    </row>
    <row r="52" customFormat="false" ht="27" hidden="false" customHeight="true" outlineLevel="0" collapsed="false">
      <c r="A52" s="31" t="n">
        <v>46368</v>
      </c>
      <c r="B52" s="32" t="s">
        <v>357</v>
      </c>
      <c r="C52" s="33" t="s">
        <v>383</v>
      </c>
      <c r="D52" s="34" t="s">
        <v>358</v>
      </c>
      <c r="E52" s="35" t="s">
        <v>191</v>
      </c>
      <c r="F52" s="36" t="s">
        <v>191</v>
      </c>
      <c r="G52" s="37"/>
      <c r="H52" s="37"/>
      <c r="I52" s="38" t="str">
        <f aca="false">IF(COUNT(G52,H52)=0,"",MAX(G52,H52))</f>
        <v/>
      </c>
      <c r="J52" s="37"/>
      <c r="K52" s="37"/>
      <c r="L52" s="37"/>
      <c r="M52" s="38" t="str">
        <f aca="false">IF(I53="","",I53)</f>
        <v/>
      </c>
      <c r="N52" s="38" t="str">
        <f aca="false">IF(I54="","",I54)</f>
        <v/>
      </c>
      <c r="O52" s="38" t="str">
        <f aca="false">IF(OR(M52="",N52=""),"",MAX(M52,N52))</f>
        <v/>
      </c>
      <c r="P52" s="39" t="str">
        <f aca="false">IF(J52="","",IF(I52="","sin referencia",IF(AND(E52="Carrera (≤2/10)",K52=""),"falta K",IF(O52="","pendiente",IF(E52="Carrera (≤2/10)",IF(AND(J52&lt;=2,K52="Sí",M52&lt;=I52,O52&lt;=I52),"Sí","No"),IF(AND(J52&lt;=3,O52&lt;=I52),"Sí","No"))))))</f>
        <v/>
      </c>
      <c r="Q52" s="40"/>
    </row>
    <row r="53" customFormat="false" ht="27" hidden="false" customHeight="true" outlineLevel="0" collapsed="false">
      <c r="A53" s="31" t="n">
        <v>46369</v>
      </c>
      <c r="B53" s="32" t="s">
        <v>359</v>
      </c>
      <c r="C53" s="33" t="s">
        <v>383</v>
      </c>
      <c r="D53" s="34" t="s">
        <v>360</v>
      </c>
      <c r="E53" s="35" t="s">
        <v>347</v>
      </c>
      <c r="F53" s="36" t="s">
        <v>361</v>
      </c>
      <c r="G53" s="37"/>
      <c r="H53" s="37"/>
      <c r="I53" s="38" t="str">
        <f aca="false">IF(COUNT(G53,H53)=0,"",MAX(G53,H53))</f>
        <v/>
      </c>
      <c r="J53" s="37"/>
      <c r="K53" s="37"/>
      <c r="L53" s="37"/>
      <c r="M53" s="38" t="str">
        <f aca="false">IF(I54="","",I54)</f>
        <v/>
      </c>
      <c r="N53" s="38" t="str">
        <f aca="false">IF(I55="","",I55)</f>
        <v/>
      </c>
      <c r="O53" s="38" t="str">
        <f aca="false">IF(OR(M53="",N53=""),"",MAX(M53,N53))</f>
        <v/>
      </c>
      <c r="P53" s="39" t="str">
        <f aca="false">IF(J53="","",IF(I53="","sin referencia",IF(AND(E53="Carrera (≤2/10)",K53=""),"falta K",IF(O53="","pendiente",IF(E53="Carrera (≤2/10)",IF(AND(J53&lt;=2,K53="Sí",M53&lt;=I53,O53&lt;=I53),"Sí","No"),IF(AND(J53&lt;=3,O53&lt;=I53),"Sí","No"))))))</f>
        <v/>
      </c>
      <c r="Q53" s="40"/>
    </row>
    <row r="54" customFormat="false" ht="27" hidden="false" customHeight="true" outlineLevel="0" collapsed="false">
      <c r="A54" s="41" t="n">
        <v>46370</v>
      </c>
      <c r="B54" s="42" t="s">
        <v>340</v>
      </c>
      <c r="C54" s="43" t="s">
        <v>387</v>
      </c>
      <c r="D54" s="44" t="s">
        <v>388</v>
      </c>
      <c r="E54" s="45" t="s">
        <v>191</v>
      </c>
      <c r="F54" s="46" t="s">
        <v>191</v>
      </c>
      <c r="G54" s="37"/>
      <c r="H54" s="37"/>
      <c r="I54" s="38" t="str">
        <f aca="false">IF(COUNT(G54,H54)=0,"",MAX(G54,H54))</f>
        <v/>
      </c>
      <c r="J54" s="37"/>
      <c r="K54" s="37"/>
      <c r="L54" s="37"/>
      <c r="M54" s="38" t="str">
        <f aca="false">IF(I55="","",I55)</f>
        <v/>
      </c>
      <c r="N54" s="38" t="str">
        <f aca="false">IF(I56="","",I56)</f>
        <v/>
      </c>
      <c r="O54" s="38" t="str">
        <f aca="false">IF(OR(M54="",N54=""),"",MAX(M54,N54))</f>
        <v/>
      </c>
      <c r="P54" s="39" t="str">
        <f aca="false">IF(J54="","",IF(I54="","sin referencia",IF(AND(E54="Carrera (≤2/10)",K54=""),"falta K",IF(O54="","pendiente",IF(E54="Carrera (≤2/10)",IF(AND(J54&lt;=2,K54="Sí",M54&lt;=I54,O54&lt;=I54),"Sí","No"),IF(AND(J54&lt;=3,O54&lt;=I54),"Sí","No"))))))</f>
        <v/>
      </c>
      <c r="Q54" s="40"/>
    </row>
    <row r="55" customFormat="false" ht="27" hidden="false" customHeight="true" outlineLevel="0" collapsed="false">
      <c r="A55" s="41" t="n">
        <v>46371</v>
      </c>
      <c r="B55" s="42" t="s">
        <v>345</v>
      </c>
      <c r="C55" s="43" t="s">
        <v>387</v>
      </c>
      <c r="D55" s="44" t="s">
        <v>388</v>
      </c>
      <c r="E55" s="45" t="s">
        <v>191</v>
      </c>
      <c r="F55" s="46" t="s">
        <v>191</v>
      </c>
      <c r="G55" s="37"/>
      <c r="H55" s="37"/>
      <c r="I55" s="38" t="str">
        <f aca="false">IF(COUNT(G55,H55)=0,"",MAX(G55,H55))</f>
        <v/>
      </c>
      <c r="J55" s="37"/>
      <c r="K55" s="37"/>
      <c r="L55" s="37"/>
      <c r="M55" s="38" t="str">
        <f aca="false">IF(I56="","",I56)</f>
        <v/>
      </c>
      <c r="N55" s="38" t="str">
        <f aca="false">IF(I57="","",I57)</f>
        <v/>
      </c>
      <c r="O55" s="38" t="str">
        <f aca="false">IF(OR(M55="",N55=""),"",MAX(M55,N55))</f>
        <v/>
      </c>
      <c r="P55" s="39" t="str">
        <f aca="false">IF(J55="","",IF(I55="","sin referencia",IF(AND(E55="Carrera (≤2/10)",K55=""),"falta K",IF(O55="","pendiente",IF(E55="Carrera (≤2/10)",IF(AND(J55&lt;=2,K55="Sí",M55&lt;=I55,O55&lt;=I55),"Sí","No"),IF(AND(J55&lt;=3,O55&lt;=I55),"Sí","No"))))))</f>
        <v/>
      </c>
      <c r="Q55" s="40"/>
    </row>
    <row r="56" customFormat="false" ht="27" hidden="false" customHeight="true" outlineLevel="0" collapsed="false">
      <c r="A56" s="41" t="n">
        <v>46372</v>
      </c>
      <c r="B56" s="42" t="s">
        <v>349</v>
      </c>
      <c r="C56" s="43" t="s">
        <v>387</v>
      </c>
      <c r="D56" s="44" t="s">
        <v>389</v>
      </c>
      <c r="E56" s="45" t="s">
        <v>347</v>
      </c>
      <c r="F56" s="46" t="s">
        <v>191</v>
      </c>
      <c r="G56" s="37"/>
      <c r="H56" s="37"/>
      <c r="I56" s="38" t="str">
        <f aca="false">IF(COUNT(G56,H56)=0,"",MAX(G56,H56))</f>
        <v/>
      </c>
      <c r="J56" s="37"/>
      <c r="K56" s="37"/>
      <c r="L56" s="37"/>
      <c r="M56" s="38" t="str">
        <f aca="false">IF(I57="","",I57)</f>
        <v/>
      </c>
      <c r="N56" s="38" t="str">
        <f aca="false">IF(I58="","",I58)</f>
        <v/>
      </c>
      <c r="O56" s="38" t="str">
        <f aca="false">IF(OR(M56="",N56=""),"",MAX(M56,N56))</f>
        <v/>
      </c>
      <c r="P56" s="39" t="str">
        <f aca="false">IF(J56="","",IF(I56="","sin referencia",IF(AND(E56="Carrera (≤2/10)",K56=""),"falta K",IF(O56="","pendiente",IF(E56="Carrera (≤2/10)",IF(AND(J56&lt;=2,K56="Sí",M56&lt;=I56,O56&lt;=I56),"Sí","No"),IF(AND(J56&lt;=3,O56&lt;=I56),"Sí","No"))))))</f>
        <v/>
      </c>
      <c r="Q56" s="40"/>
    </row>
    <row r="57" customFormat="false" ht="27" hidden="false" customHeight="true" outlineLevel="0" collapsed="false">
      <c r="A57" s="41" t="n">
        <v>46373</v>
      </c>
      <c r="B57" s="42" t="s">
        <v>352</v>
      </c>
      <c r="C57" s="43" t="s">
        <v>387</v>
      </c>
      <c r="D57" s="44" t="s">
        <v>388</v>
      </c>
      <c r="E57" s="45" t="s">
        <v>191</v>
      </c>
      <c r="F57" s="46" t="s">
        <v>191</v>
      </c>
      <c r="G57" s="37"/>
      <c r="H57" s="37"/>
      <c r="I57" s="38" t="str">
        <f aca="false">IF(COUNT(G57,H57)=0,"",MAX(G57,H57))</f>
        <v/>
      </c>
      <c r="J57" s="37"/>
      <c r="K57" s="37"/>
      <c r="L57" s="37"/>
      <c r="M57" s="38" t="str">
        <f aca="false">IF(I58="","",I58)</f>
        <v/>
      </c>
      <c r="N57" s="38" t="str">
        <f aca="false">IF(I59="","",I59)</f>
        <v/>
      </c>
      <c r="O57" s="38" t="str">
        <f aca="false">IF(OR(M57="",N57=""),"",MAX(M57,N57))</f>
        <v/>
      </c>
      <c r="P57" s="39" t="str">
        <f aca="false">IF(J57="","",IF(I57="","sin referencia",IF(AND(E57="Carrera (≤2/10)",K57=""),"falta K",IF(O57="","pendiente",IF(E57="Carrera (≤2/10)",IF(AND(J57&lt;=2,K57="Sí",M57&lt;=I57,O57&lt;=I57),"Sí","No"),IF(AND(J57&lt;=3,O57&lt;=I57),"Sí","No"))))))</f>
        <v/>
      </c>
      <c r="Q57" s="40"/>
    </row>
    <row r="58" customFormat="false" ht="27" hidden="false" customHeight="true" outlineLevel="0" collapsed="false">
      <c r="A58" s="41" t="n">
        <v>46374</v>
      </c>
      <c r="B58" s="42" t="s">
        <v>355</v>
      </c>
      <c r="C58" s="43" t="s">
        <v>387</v>
      </c>
      <c r="D58" s="44" t="s">
        <v>388</v>
      </c>
      <c r="E58" s="45" t="s">
        <v>191</v>
      </c>
      <c r="F58" s="46" t="s">
        <v>191</v>
      </c>
      <c r="G58" s="37"/>
      <c r="H58" s="37"/>
      <c r="I58" s="38" t="str">
        <f aca="false">IF(COUNT(G58,H58)=0,"",MAX(G58,H58))</f>
        <v/>
      </c>
      <c r="J58" s="37"/>
      <c r="K58" s="37"/>
      <c r="L58" s="37"/>
      <c r="M58" s="38" t="str">
        <f aca="false">IF(I59="","",I59)</f>
        <v/>
      </c>
      <c r="N58" s="38" t="str">
        <f aca="false">IF(I60="","",I60)</f>
        <v/>
      </c>
      <c r="O58" s="38" t="str">
        <f aca="false">IF(OR(M58="",N58=""),"",MAX(M58,N58))</f>
        <v/>
      </c>
      <c r="P58" s="39" t="str">
        <f aca="false">IF(J58="","",IF(I58="","sin referencia",IF(AND(E58="Carrera (≤2/10)",K58=""),"falta K",IF(O58="","pendiente",IF(E58="Carrera (≤2/10)",IF(AND(J58&lt;=2,K58="Sí",M58&lt;=I58,O58&lt;=I58),"Sí","No"),IF(AND(J58&lt;=3,O58&lt;=I58),"Sí","No"))))))</f>
        <v/>
      </c>
      <c r="Q58" s="40"/>
    </row>
    <row r="59" customFormat="false" ht="27" hidden="false" customHeight="true" outlineLevel="0" collapsed="false">
      <c r="A59" s="41" t="n">
        <v>46375</v>
      </c>
      <c r="B59" s="42" t="s">
        <v>357</v>
      </c>
      <c r="C59" s="43" t="s">
        <v>387</v>
      </c>
      <c r="D59" s="44" t="s">
        <v>388</v>
      </c>
      <c r="E59" s="45" t="s">
        <v>191</v>
      </c>
      <c r="F59" s="46" t="s">
        <v>191</v>
      </c>
      <c r="G59" s="37"/>
      <c r="H59" s="37"/>
      <c r="I59" s="38" t="str">
        <f aca="false">IF(COUNT(G59,H59)=0,"",MAX(G59,H59))</f>
        <v/>
      </c>
      <c r="J59" s="37"/>
      <c r="K59" s="37"/>
      <c r="L59" s="37"/>
      <c r="M59" s="38" t="str">
        <f aca="false">IF(I60="","",I60)</f>
        <v/>
      </c>
      <c r="N59" s="38" t="str">
        <f aca="false">IF(I61="","",I61)</f>
        <v/>
      </c>
      <c r="O59" s="38" t="str">
        <f aca="false">IF(OR(M59="",N59=""),"",MAX(M59,N59))</f>
        <v/>
      </c>
      <c r="P59" s="39" t="str">
        <f aca="false">IF(J59="","",IF(I59="","sin referencia",IF(AND(E59="Carrera (≤2/10)",K59=""),"falta K",IF(O59="","pendiente",IF(E59="Carrera (≤2/10)",IF(AND(J59&lt;=2,K59="Sí",M59&lt;=I59,O59&lt;=I59),"Sí","No"),IF(AND(J59&lt;=3,O59&lt;=I59),"Sí","No"))))))</f>
        <v/>
      </c>
      <c r="Q59" s="40"/>
    </row>
    <row r="60" customFormat="false" ht="27" hidden="false" customHeight="true" outlineLevel="0" collapsed="false">
      <c r="A60" s="41" t="n">
        <v>46376</v>
      </c>
      <c r="B60" s="42" t="s">
        <v>359</v>
      </c>
      <c r="C60" s="43" t="s">
        <v>387</v>
      </c>
      <c r="D60" s="44" t="s">
        <v>389</v>
      </c>
      <c r="E60" s="45" t="s">
        <v>347</v>
      </c>
      <c r="F60" s="46" t="s">
        <v>191</v>
      </c>
      <c r="G60" s="37"/>
      <c r="H60" s="37"/>
      <c r="I60" s="38" t="str">
        <f aca="false">IF(COUNT(G60,H60)=0,"",MAX(G60,H60))</f>
        <v/>
      </c>
      <c r="J60" s="37"/>
      <c r="K60" s="37"/>
      <c r="L60" s="37"/>
      <c r="M60" s="38" t="str">
        <f aca="false">IF(I61="","",I61)</f>
        <v/>
      </c>
      <c r="N60" s="38" t="str">
        <f aca="false">IF(I62="","",I62)</f>
        <v/>
      </c>
      <c r="O60" s="38" t="str">
        <f aca="false">IF(OR(M60="",N60=""),"",MAX(M60,N60))</f>
        <v/>
      </c>
      <c r="P60" s="39" t="str">
        <f aca="false">IF(J60="","",IF(I60="","sin referencia",IF(AND(E60="Carrera (≤2/10)",K60=""),"falta K",IF(O60="","pendiente",IF(E60="Carrera (≤2/10)",IF(AND(J60&lt;=2,K60="Sí",M60&lt;=I60,O60&lt;=I60),"Sí","No"),IF(AND(J60&lt;=3,O60&lt;=I60),"Sí","No"))))))</f>
        <v/>
      </c>
      <c r="Q60" s="40"/>
    </row>
    <row r="61" customFormat="false" ht="27" hidden="false" customHeight="true" outlineLevel="0" collapsed="false">
      <c r="A61" s="31" t="n">
        <v>46377</v>
      </c>
      <c r="B61" s="32" t="s">
        <v>340</v>
      </c>
      <c r="C61" s="33" t="s">
        <v>390</v>
      </c>
      <c r="D61" s="34" t="s">
        <v>391</v>
      </c>
      <c r="E61" s="35" t="s">
        <v>343</v>
      </c>
      <c r="F61" s="36" t="s">
        <v>392</v>
      </c>
      <c r="G61" s="37"/>
      <c r="H61" s="37"/>
      <c r="I61" s="38" t="str">
        <f aca="false">IF(COUNT(G61,H61)=0,"",MAX(G61,H61))</f>
        <v/>
      </c>
      <c r="J61" s="37"/>
      <c r="K61" s="37"/>
      <c r="L61" s="37"/>
      <c r="M61" s="38" t="str">
        <f aca="false">IF(I62="","",I62)</f>
        <v/>
      </c>
      <c r="N61" s="38" t="str">
        <f aca="false">IF(I63="","",I63)</f>
        <v/>
      </c>
      <c r="O61" s="38" t="str">
        <f aca="false">IF(OR(M61="",N61=""),"",MAX(M61,N61))</f>
        <v/>
      </c>
      <c r="P61" s="39" t="str">
        <f aca="false">IF(J61="","",IF(I61="","sin referencia",IF(AND(E61="Carrera (≤2/10)",K61=""),"falta K",IF(O61="","pendiente",IF(E61="Carrera (≤2/10)",IF(AND(J61&lt;=2,K61="Sí",M61&lt;=I61,O61&lt;=I61),"Sí","No"),IF(AND(J61&lt;=3,O61&lt;=I61),"Sí","No"))))))</f>
        <v/>
      </c>
      <c r="Q61" s="40"/>
    </row>
    <row r="62" customFormat="false" ht="27" hidden="false" customHeight="true" outlineLevel="0" collapsed="false">
      <c r="A62" s="31" t="n">
        <v>46378</v>
      </c>
      <c r="B62" s="32" t="s">
        <v>345</v>
      </c>
      <c r="C62" s="33" t="s">
        <v>390</v>
      </c>
      <c r="D62" s="34" t="s">
        <v>374</v>
      </c>
      <c r="E62" s="35" t="s">
        <v>343</v>
      </c>
      <c r="F62" s="36" t="s">
        <v>191</v>
      </c>
      <c r="G62" s="37"/>
      <c r="H62" s="37"/>
      <c r="I62" s="38" t="str">
        <f aca="false">IF(COUNT(G62,H62)=0,"",MAX(G62,H62))</f>
        <v/>
      </c>
      <c r="J62" s="37"/>
      <c r="K62" s="37"/>
      <c r="L62" s="37"/>
      <c r="M62" s="38" t="str">
        <f aca="false">IF(I63="","",I63)</f>
        <v/>
      </c>
      <c r="N62" s="38" t="str">
        <f aca="false">IF(I64="","",I64)</f>
        <v/>
      </c>
      <c r="O62" s="38" t="str">
        <f aca="false">IF(OR(M62="",N62=""),"",MAX(M62,N62))</f>
        <v/>
      </c>
      <c r="P62" s="39" t="str">
        <f aca="false">IF(J62="","",IF(I62="","sin referencia",IF(AND(E62="Carrera (≤2/10)",K62=""),"falta K",IF(O62="","pendiente",IF(E62="Carrera (≤2/10)",IF(AND(J62&lt;=2,K62="Sí",M62&lt;=I62,O62&lt;=I62),"Sí","No"),IF(AND(J62&lt;=3,O62&lt;=I62),"Sí","No"))))))</f>
        <v/>
      </c>
      <c r="Q62" s="40"/>
    </row>
    <row r="63" customFormat="false" ht="27" hidden="false" customHeight="true" outlineLevel="0" collapsed="false">
      <c r="A63" s="31" t="n">
        <v>46379</v>
      </c>
      <c r="B63" s="32" t="s">
        <v>349</v>
      </c>
      <c r="C63" s="33" t="s">
        <v>390</v>
      </c>
      <c r="D63" s="34" t="s">
        <v>393</v>
      </c>
      <c r="E63" s="35" t="s">
        <v>347</v>
      </c>
      <c r="F63" s="36" t="s">
        <v>394</v>
      </c>
      <c r="G63" s="37"/>
      <c r="H63" s="37"/>
      <c r="I63" s="38" t="str">
        <f aca="false">IF(COUNT(G63,H63)=0,"",MAX(G63,H63))</f>
        <v/>
      </c>
      <c r="J63" s="37"/>
      <c r="K63" s="37"/>
      <c r="L63" s="37"/>
      <c r="M63" s="38" t="str">
        <f aca="false">IF(I64="","",I64)</f>
        <v/>
      </c>
      <c r="N63" s="38" t="str">
        <f aca="false">IF(I65="","",I65)</f>
        <v/>
      </c>
      <c r="O63" s="38" t="str">
        <f aca="false">IF(OR(M63="",N63=""),"",MAX(M63,N63))</f>
        <v/>
      </c>
      <c r="P63" s="39" t="str">
        <f aca="false">IF(J63="","",IF(I63="","sin referencia",IF(AND(E63="Carrera (≤2/10)",K63=""),"falta K",IF(O63="","pendiente",IF(E63="Carrera (≤2/10)",IF(AND(J63&lt;=2,K63="Sí",M63&lt;=I63,O63&lt;=I63),"Sí","No"),IF(AND(J63&lt;=3,O63&lt;=I63),"Sí","No"))))))</f>
        <v/>
      </c>
      <c r="Q63" s="40"/>
    </row>
    <row r="64" customFormat="false" ht="27" hidden="false" customHeight="true" outlineLevel="0" collapsed="false">
      <c r="A64" s="31" t="n">
        <v>46380</v>
      </c>
      <c r="B64" s="32" t="s">
        <v>352</v>
      </c>
      <c r="C64" s="33" t="s">
        <v>390</v>
      </c>
      <c r="D64" s="34" t="s">
        <v>395</v>
      </c>
      <c r="E64" s="35" t="s">
        <v>343</v>
      </c>
      <c r="F64" s="36" t="s">
        <v>191</v>
      </c>
      <c r="G64" s="37"/>
      <c r="H64" s="37"/>
      <c r="I64" s="38" t="str">
        <f aca="false">IF(COUNT(G64,H64)=0,"",MAX(G64,H64))</f>
        <v/>
      </c>
      <c r="J64" s="37"/>
      <c r="K64" s="37"/>
      <c r="L64" s="37"/>
      <c r="M64" s="38" t="str">
        <f aca="false">IF(I65="","",I65)</f>
        <v/>
      </c>
      <c r="N64" s="38" t="str">
        <f aca="false">IF(I66="","",I66)</f>
        <v/>
      </c>
      <c r="O64" s="38" t="str">
        <f aca="false">IF(OR(M64="",N64=""),"",MAX(M64,N64))</f>
        <v/>
      </c>
      <c r="P64" s="39" t="str">
        <f aca="false">IF(J64="","",IF(I64="","sin referencia",IF(AND(E64="Carrera (≤2/10)",K64=""),"falta K",IF(O64="","pendiente",IF(E64="Carrera (≤2/10)",IF(AND(J64&lt;=2,K64="Sí",M64&lt;=I64,O64&lt;=I64),"Sí","No"),IF(AND(J64&lt;=3,O64&lt;=I64),"Sí","No"))))))</f>
        <v/>
      </c>
      <c r="Q64" s="40"/>
    </row>
    <row r="65" customFormat="false" ht="27" hidden="false" customHeight="true" outlineLevel="0" collapsed="false">
      <c r="A65" s="31" t="n">
        <v>46381</v>
      </c>
      <c r="B65" s="32" t="s">
        <v>355</v>
      </c>
      <c r="C65" s="33" t="s">
        <v>390</v>
      </c>
      <c r="D65" s="34" t="s">
        <v>377</v>
      </c>
      <c r="E65" s="35" t="s">
        <v>343</v>
      </c>
      <c r="F65" s="36" t="s">
        <v>191</v>
      </c>
      <c r="G65" s="37"/>
      <c r="H65" s="37"/>
      <c r="I65" s="38" t="str">
        <f aca="false">IF(COUNT(G65,H65)=0,"",MAX(G65,H65))</f>
        <v/>
      </c>
      <c r="J65" s="37"/>
      <c r="K65" s="37"/>
      <c r="L65" s="37"/>
      <c r="M65" s="38" t="str">
        <f aca="false">IF(I66="","",I66)</f>
        <v/>
      </c>
      <c r="N65" s="38" t="str">
        <f aca="false">IF(I67="","",I67)</f>
        <v/>
      </c>
      <c r="O65" s="38" t="str">
        <f aca="false">IF(OR(M65="",N65=""),"",MAX(M65,N65))</f>
        <v/>
      </c>
      <c r="P65" s="39" t="str">
        <f aca="false">IF(J65="","",IF(I65="","sin referencia",IF(AND(E65="Carrera (≤2/10)",K65=""),"falta K",IF(O65="","pendiente",IF(E65="Carrera (≤2/10)",IF(AND(J65&lt;=2,K65="Sí",M65&lt;=I65,O65&lt;=I65),"Sí","No"),IF(AND(J65&lt;=3,O65&lt;=I65),"Sí","No"))))))</f>
        <v/>
      </c>
      <c r="Q65" s="40"/>
    </row>
    <row r="66" customFormat="false" ht="27" hidden="false" customHeight="true" outlineLevel="0" collapsed="false">
      <c r="A66" s="31" t="n">
        <v>46382</v>
      </c>
      <c r="B66" s="32" t="s">
        <v>357</v>
      </c>
      <c r="C66" s="33" t="s">
        <v>390</v>
      </c>
      <c r="D66" s="34" t="s">
        <v>358</v>
      </c>
      <c r="E66" s="35" t="s">
        <v>191</v>
      </c>
      <c r="F66" s="36" t="s">
        <v>191</v>
      </c>
      <c r="G66" s="37"/>
      <c r="H66" s="37"/>
      <c r="I66" s="38" t="str">
        <f aca="false">IF(COUNT(G66,H66)=0,"",MAX(G66,H66))</f>
        <v/>
      </c>
      <c r="J66" s="37"/>
      <c r="K66" s="37"/>
      <c r="L66" s="37"/>
      <c r="M66" s="38" t="str">
        <f aca="false">IF(I67="","",I67)</f>
        <v/>
      </c>
      <c r="N66" s="38" t="str">
        <f aca="false">IF(I68="","",I68)</f>
        <v/>
      </c>
      <c r="O66" s="38" t="str">
        <f aca="false">IF(OR(M66="",N66=""),"",MAX(M66,N66))</f>
        <v/>
      </c>
      <c r="P66" s="39" t="str">
        <f aca="false">IF(J66="","",IF(I66="","sin referencia",IF(AND(E66="Carrera (≤2/10)",K66=""),"falta K",IF(O66="","pendiente",IF(E66="Carrera (≤2/10)",IF(AND(J66&lt;=2,K66="Sí",M66&lt;=I66,O66&lt;=I66),"Sí","No"),IF(AND(J66&lt;=3,O66&lt;=I66),"Sí","No"))))))</f>
        <v/>
      </c>
      <c r="Q66" s="40"/>
    </row>
    <row r="67" customFormat="false" ht="27" hidden="false" customHeight="true" outlineLevel="0" collapsed="false">
      <c r="A67" s="31" t="n">
        <v>46383</v>
      </c>
      <c r="B67" s="32" t="s">
        <v>359</v>
      </c>
      <c r="C67" s="33" t="s">
        <v>390</v>
      </c>
      <c r="D67" s="34" t="s">
        <v>360</v>
      </c>
      <c r="E67" s="35" t="s">
        <v>347</v>
      </c>
      <c r="F67" s="36" t="s">
        <v>361</v>
      </c>
      <c r="G67" s="37"/>
      <c r="H67" s="37"/>
      <c r="I67" s="38" t="str">
        <f aca="false">IF(COUNT(G67,H67)=0,"",MAX(G67,H67))</f>
        <v/>
      </c>
      <c r="J67" s="37"/>
      <c r="K67" s="37"/>
      <c r="L67" s="37"/>
      <c r="M67" s="38" t="str">
        <f aca="false">IF(I68="","",I68)</f>
        <v/>
      </c>
      <c r="N67" s="38" t="str">
        <f aca="false">IF(I69="","",I69)</f>
        <v/>
      </c>
      <c r="O67" s="38" t="str">
        <f aca="false">IF(OR(M67="",N67=""),"",MAX(M67,N67))</f>
        <v/>
      </c>
      <c r="P67" s="39" t="str">
        <f aca="false">IF(J67="","",IF(I67="","sin referencia",IF(AND(E67="Carrera (≤2/10)",K67=""),"falta K",IF(O67="","pendiente",IF(E67="Carrera (≤2/10)",IF(AND(J67&lt;=2,K67="Sí",M67&lt;=I67,O67&lt;=I67),"Sí","No"),IF(AND(J67&lt;=3,O67&lt;=I67),"Sí","No"))))))</f>
        <v/>
      </c>
      <c r="Q67" s="40"/>
    </row>
    <row r="70" customFormat="false" ht="19.5" hidden="false" customHeight="true" outlineLevel="0" collapsed="false">
      <c r="A70" s="11" t="s">
        <v>396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customFormat="false" ht="30" hidden="false" customHeight="true" outlineLevel="0" collapsed="false">
      <c r="A71" s="30" t="s">
        <v>397</v>
      </c>
      <c r="B71" s="30" t="s">
        <v>398</v>
      </c>
      <c r="C71" s="30"/>
      <c r="D71" s="30"/>
      <c r="E71" s="30" t="s">
        <v>399</v>
      </c>
      <c r="F71" s="30" t="s">
        <v>400</v>
      </c>
      <c r="G71" s="30" t="s">
        <v>401</v>
      </c>
      <c r="H71" s="30"/>
      <c r="I71" s="30" t="s">
        <v>402</v>
      </c>
      <c r="J71" s="30"/>
      <c r="K71" s="30" t="s">
        <v>403</v>
      </c>
      <c r="L71" s="30"/>
      <c r="M71" s="30" t="s">
        <v>52</v>
      </c>
      <c r="N71" s="30"/>
      <c r="O71" s="30"/>
      <c r="P71" s="30"/>
      <c r="Q71" s="30"/>
    </row>
    <row r="72" customFormat="false" ht="15" hidden="false" customHeight="false" outlineLevel="0" collapsed="false">
      <c r="A72" s="32" t="s">
        <v>341</v>
      </c>
      <c r="B72" s="38" t="str">
        <f aca="false">IF(COUNTIFS($C$5:$C$67,$A72,$I$5:$I$67,"&gt;=0")=0,"",ROUND(SUMIFS($I$5:$I$67,$C$5:$C$67,$A72)/COUNTIFS($C$5:$C$67,$A72,$I$5:$I$67,"&gt;=0"),1))</f>
        <v/>
      </c>
      <c r="C72" s="38"/>
      <c r="D72" s="38"/>
      <c r="E72" s="38" t="str">
        <f aca="false" t="array" ref="E72:E72">IF(COUNTIFS($C$5:$C$67,$A72,$I$5:$I$67,"&gt;=0")=0,"",MAX(IF(($C$5:$C$67=$A72)*ISNUMBER($I$5:$I$67),$I$5:$I$67)))</f>
        <v/>
      </c>
      <c r="F72" s="38" t="n">
        <f aca="false">COUNTIFS($C$5:$C$67,$A72,$P$5:$P$67,"No")</f>
        <v>0</v>
      </c>
      <c r="G72" s="47" t="n">
        <f aca="false">COUNTIFS($C$5:$C$67,$A72,$L$5:$L$67,"Sí")</f>
        <v>0</v>
      </c>
      <c r="H72" s="47"/>
      <c r="I72" s="37"/>
      <c r="J72" s="37"/>
      <c r="K72" s="37"/>
      <c r="L72" s="37"/>
      <c r="M72" s="37"/>
      <c r="N72" s="37"/>
      <c r="O72" s="37"/>
      <c r="P72" s="37"/>
      <c r="Q72" s="37"/>
    </row>
    <row r="73" customFormat="false" ht="15" hidden="false" customHeight="false" outlineLevel="0" collapsed="false">
      <c r="A73" s="32" t="s">
        <v>362</v>
      </c>
      <c r="B73" s="38" t="str">
        <f aca="false">IF(COUNTIFS($C$5:$C$67,$A73,$I$5:$I$67,"&gt;=0")=0,"",ROUND(SUMIFS($I$5:$I$67,$C$5:$C$67,$A73)/COUNTIFS($C$5:$C$67,$A73,$I$5:$I$67,"&gt;=0"),1))</f>
        <v/>
      </c>
      <c r="C73" s="38"/>
      <c r="D73" s="38"/>
      <c r="E73" s="38" t="str">
        <f aca="false" t="array" ref="E73:E73">IF(COUNTIFS($C$5:$C$67,$A73,$I$5:$I$67,"&gt;=0")=0,"",MAX(IF(($C$5:$C$67=$A73)*ISNUMBER($I$5:$I$67),$I$5:$I$67)))</f>
        <v/>
      </c>
      <c r="F73" s="38" t="n">
        <f aca="false">COUNTIFS($C$5:$C$67,$A73,$P$5:$P$67,"No")</f>
        <v>0</v>
      </c>
      <c r="G73" s="47" t="n">
        <f aca="false">COUNTIFS($C$5:$C$67,$A73,$L$5:$L$67,"Sí")</f>
        <v>0</v>
      </c>
      <c r="H73" s="47"/>
      <c r="I73" s="37"/>
      <c r="J73" s="37"/>
      <c r="K73" s="37"/>
      <c r="L73" s="37"/>
      <c r="M73" s="37"/>
      <c r="N73" s="37"/>
      <c r="O73" s="37"/>
      <c r="P73" s="37"/>
      <c r="Q73" s="37"/>
    </row>
    <row r="74" customFormat="false" ht="15" hidden="false" customHeight="false" outlineLevel="0" collapsed="false">
      <c r="A74" s="32" t="s">
        <v>368</v>
      </c>
      <c r="B74" s="38" t="str">
        <f aca="false">IF(COUNTIFS($C$5:$C$67,$A74,$I$5:$I$67,"&gt;=0")=0,"",ROUND(SUMIFS($I$5:$I$67,$C$5:$C$67,$A74)/COUNTIFS($C$5:$C$67,$A74,$I$5:$I$67,"&gt;=0"),1))</f>
        <v/>
      </c>
      <c r="C74" s="38"/>
      <c r="D74" s="38"/>
      <c r="E74" s="38" t="str">
        <f aca="false" t="array" ref="E74:E74">IF(COUNTIFS($C$5:$C$67,$A74,$I$5:$I$67,"&gt;=0")=0,"",MAX(IF(($C$5:$C$67=$A74)*ISNUMBER($I$5:$I$67),$I$5:$I$67)))</f>
        <v/>
      </c>
      <c r="F74" s="38" t="n">
        <f aca="false">COUNTIFS($C$5:$C$67,$A74,$P$5:$P$67,"No")</f>
        <v>0</v>
      </c>
      <c r="G74" s="47" t="n">
        <f aca="false">COUNTIFS($C$5:$C$67,$A74,$L$5:$L$67,"Sí")</f>
        <v>0</v>
      </c>
      <c r="H74" s="47"/>
      <c r="I74" s="37"/>
      <c r="J74" s="37"/>
      <c r="K74" s="37"/>
      <c r="L74" s="37"/>
      <c r="M74" s="37"/>
      <c r="N74" s="37"/>
      <c r="O74" s="37"/>
      <c r="P74" s="37"/>
      <c r="Q74" s="37"/>
    </row>
    <row r="75" customFormat="false" ht="15" hidden="false" customHeight="false" outlineLevel="0" collapsed="false">
      <c r="A75" s="32" t="s">
        <v>372</v>
      </c>
      <c r="B75" s="38" t="str">
        <f aca="false">IF(COUNTIFS($C$5:$C$67,$A75,$I$5:$I$67,"&gt;=0")=0,"",ROUND(SUMIFS($I$5:$I$67,$C$5:$C$67,$A75)/COUNTIFS($C$5:$C$67,$A75,$I$5:$I$67,"&gt;=0"),1))</f>
        <v/>
      </c>
      <c r="C75" s="38"/>
      <c r="D75" s="38"/>
      <c r="E75" s="38" t="str">
        <f aca="false" t="array" ref="E75:E75">IF(COUNTIFS($C$5:$C$67,$A75,$I$5:$I$67,"&gt;=0")=0,"",MAX(IF(($C$5:$C$67=$A75)*ISNUMBER($I$5:$I$67),$I$5:$I$67)))</f>
        <v/>
      </c>
      <c r="F75" s="38" t="n">
        <f aca="false">COUNTIFS($C$5:$C$67,$A75,$P$5:$P$67,"No")</f>
        <v>0</v>
      </c>
      <c r="G75" s="47" t="n">
        <f aca="false">COUNTIFS($C$5:$C$67,$A75,$L$5:$L$67,"Sí")</f>
        <v>0</v>
      </c>
      <c r="H75" s="47"/>
      <c r="I75" s="37"/>
      <c r="J75" s="37"/>
      <c r="K75" s="37"/>
      <c r="L75" s="37"/>
      <c r="M75" s="37"/>
      <c r="N75" s="37"/>
      <c r="O75" s="37"/>
      <c r="P75" s="37"/>
      <c r="Q75" s="37"/>
    </row>
    <row r="76" customFormat="false" ht="15" hidden="false" customHeight="false" outlineLevel="0" collapsed="false">
      <c r="A76" s="32" t="s">
        <v>378</v>
      </c>
      <c r="B76" s="38" t="str">
        <f aca="false">IF(COUNTIFS($C$5:$C$67,$A76,$I$5:$I$67,"&gt;=0")=0,"",ROUND(SUMIFS($I$5:$I$67,$C$5:$C$67,$A76)/COUNTIFS($C$5:$C$67,$A76,$I$5:$I$67,"&gt;=0"),1))</f>
        <v/>
      </c>
      <c r="C76" s="38"/>
      <c r="D76" s="38"/>
      <c r="E76" s="38" t="str">
        <f aca="false" t="array" ref="E76:E76">IF(COUNTIFS($C$5:$C$67,$A76,$I$5:$I$67,"&gt;=0")=0,"",MAX(IF(($C$5:$C$67=$A76)*ISNUMBER($I$5:$I$67),$I$5:$I$67)))</f>
        <v/>
      </c>
      <c r="F76" s="38" t="n">
        <f aca="false">COUNTIFS($C$5:$C$67,$A76,$P$5:$P$67,"No")</f>
        <v>0</v>
      </c>
      <c r="G76" s="47" t="n">
        <f aca="false">COUNTIFS($C$5:$C$67,$A76,$L$5:$L$67,"Sí")</f>
        <v>0</v>
      </c>
      <c r="H76" s="47"/>
      <c r="I76" s="37"/>
      <c r="J76" s="37"/>
      <c r="K76" s="37"/>
      <c r="L76" s="37"/>
      <c r="M76" s="37"/>
      <c r="N76" s="37"/>
      <c r="O76" s="37"/>
      <c r="P76" s="37"/>
      <c r="Q76" s="37"/>
    </row>
    <row r="77" customFormat="false" ht="15" hidden="false" customHeight="false" outlineLevel="0" collapsed="false">
      <c r="A77" s="32" t="s">
        <v>380</v>
      </c>
      <c r="B77" s="38" t="str">
        <f aca="false">IF(COUNTIFS($C$5:$C$67,$A77,$I$5:$I$67,"&gt;=0")=0,"",ROUND(SUMIFS($I$5:$I$67,$C$5:$C$67,$A77)/COUNTIFS($C$5:$C$67,$A77,$I$5:$I$67,"&gt;=0"),1))</f>
        <v/>
      </c>
      <c r="C77" s="38"/>
      <c r="D77" s="38"/>
      <c r="E77" s="38" t="str">
        <f aca="false" t="array" ref="E77:E77">IF(COUNTIFS($C$5:$C$67,$A77,$I$5:$I$67,"&gt;=0")=0,"",MAX(IF(($C$5:$C$67=$A77)*ISNUMBER($I$5:$I$67),$I$5:$I$67)))</f>
        <v/>
      </c>
      <c r="F77" s="38" t="n">
        <f aca="false">COUNTIFS($C$5:$C$67,$A77,$P$5:$P$67,"No")</f>
        <v>0</v>
      </c>
      <c r="G77" s="47" t="n">
        <f aca="false">COUNTIFS($C$5:$C$67,$A77,$L$5:$L$67,"Sí")</f>
        <v>0</v>
      </c>
      <c r="H77" s="47"/>
      <c r="I77" s="37"/>
      <c r="J77" s="37"/>
      <c r="K77" s="37"/>
      <c r="L77" s="37"/>
      <c r="M77" s="37"/>
      <c r="N77" s="37"/>
      <c r="O77" s="37"/>
      <c r="P77" s="37"/>
      <c r="Q77" s="37"/>
    </row>
    <row r="78" customFormat="false" ht="15" hidden="false" customHeight="false" outlineLevel="0" collapsed="false">
      <c r="A78" s="32" t="s">
        <v>383</v>
      </c>
      <c r="B78" s="38" t="str">
        <f aca="false">IF(COUNTIFS($C$5:$C$67,$A78,$I$5:$I$67,"&gt;=0")=0,"",ROUND(SUMIFS($I$5:$I$67,$C$5:$C$67,$A78)/COUNTIFS($C$5:$C$67,$A78,$I$5:$I$67,"&gt;=0"),1))</f>
        <v/>
      </c>
      <c r="C78" s="38"/>
      <c r="D78" s="38"/>
      <c r="E78" s="38" t="str">
        <f aca="false" t="array" ref="E78:E78">IF(COUNTIFS($C$5:$C$67,$A78,$I$5:$I$67,"&gt;=0")=0,"",MAX(IF(($C$5:$C$67=$A78)*ISNUMBER($I$5:$I$67),$I$5:$I$67)))</f>
        <v/>
      </c>
      <c r="F78" s="38" t="n">
        <f aca="false">COUNTIFS($C$5:$C$67,$A78,$P$5:$P$67,"No")</f>
        <v>0</v>
      </c>
      <c r="G78" s="47" t="n">
        <f aca="false">COUNTIFS($C$5:$C$67,$A78,$L$5:$L$67,"Sí")</f>
        <v>0</v>
      </c>
      <c r="H78" s="47"/>
      <c r="I78" s="37"/>
      <c r="J78" s="37"/>
      <c r="K78" s="37"/>
      <c r="L78" s="37"/>
      <c r="M78" s="37"/>
      <c r="N78" s="37"/>
      <c r="O78" s="37"/>
      <c r="P78" s="37"/>
      <c r="Q78" s="37"/>
    </row>
    <row r="79" customFormat="false" ht="15" hidden="false" customHeight="false" outlineLevel="0" collapsed="false">
      <c r="A79" s="32" t="s">
        <v>387</v>
      </c>
      <c r="B79" s="38" t="str">
        <f aca="false">IF(COUNTIFS($C$5:$C$67,$A79,$I$5:$I$67,"&gt;=0")=0,"",ROUND(SUMIFS($I$5:$I$67,$C$5:$C$67,$A79)/COUNTIFS($C$5:$C$67,$A79,$I$5:$I$67,"&gt;=0"),1))</f>
        <v/>
      </c>
      <c r="C79" s="38"/>
      <c r="D79" s="38"/>
      <c r="E79" s="38" t="str">
        <f aca="false" t="array" ref="E79:E79">IF(COUNTIFS($C$5:$C$67,$A79,$I$5:$I$67,"&gt;=0")=0,"",MAX(IF(($C$5:$C$67=$A79)*ISNUMBER($I$5:$I$67),$I$5:$I$67)))</f>
        <v/>
      </c>
      <c r="F79" s="38" t="n">
        <f aca="false">COUNTIFS($C$5:$C$67,$A79,$P$5:$P$67,"No")</f>
        <v>0</v>
      </c>
      <c r="G79" s="47" t="n">
        <f aca="false">COUNTIFS($C$5:$C$67,$A79,$L$5:$L$67,"Sí")</f>
        <v>0</v>
      </c>
      <c r="H79" s="47"/>
      <c r="I79" s="37"/>
      <c r="J79" s="37"/>
      <c r="K79" s="37"/>
      <c r="L79" s="37"/>
      <c r="M79" s="37"/>
      <c r="N79" s="37"/>
      <c r="O79" s="37"/>
      <c r="P79" s="37"/>
      <c r="Q79" s="37"/>
    </row>
    <row r="80" customFormat="false" ht="15" hidden="false" customHeight="false" outlineLevel="0" collapsed="false">
      <c r="A80" s="32" t="s">
        <v>390</v>
      </c>
      <c r="B80" s="38" t="str">
        <f aca="false">IF(COUNTIFS($C$5:$C$67,$A80,$I$5:$I$67,"&gt;=0")=0,"",ROUND(SUMIFS($I$5:$I$67,$C$5:$C$67,$A80)/COUNTIFS($C$5:$C$67,$A80,$I$5:$I$67,"&gt;=0"),1))</f>
        <v/>
      </c>
      <c r="C80" s="38"/>
      <c r="D80" s="38"/>
      <c r="E80" s="38" t="str">
        <f aca="false" t="array" ref="E80:E80">IF(COUNTIFS($C$5:$C$67,$A80,$I$5:$I$67,"&gt;=0")=0,"",MAX(IF(($C$5:$C$67=$A80)*ISNUMBER($I$5:$I$67),$I$5:$I$67)))</f>
        <v/>
      </c>
      <c r="F80" s="38" t="n">
        <f aca="false">COUNTIFS($C$5:$C$67,$A80,$P$5:$P$67,"No")</f>
        <v>0</v>
      </c>
      <c r="G80" s="47" t="n">
        <f aca="false">COUNTIFS($C$5:$C$67,$A80,$L$5:$L$67,"Sí")</f>
        <v>0</v>
      </c>
      <c r="H80" s="47"/>
      <c r="I80" s="37"/>
      <c r="J80" s="37"/>
      <c r="K80" s="37"/>
      <c r="L80" s="37"/>
      <c r="M80" s="37"/>
      <c r="N80" s="37"/>
      <c r="O80" s="37"/>
      <c r="P80" s="37"/>
      <c r="Q80" s="37"/>
    </row>
    <row r="82" customFormat="false" ht="15" hidden="false" customHeight="true" outlineLevel="0" collapsed="false">
      <c r="A82" s="48" t="s">
        <v>404</v>
      </c>
      <c r="B82" s="48"/>
      <c r="C82" s="48"/>
      <c r="D82" s="48"/>
      <c r="E82" s="48" t="str">
        <f aca="false">IF(OR(B72="",B74=""),"Se calcula cuando haya datos de S2 y S4",IF(B74&gt;B72,"PEOR que en S2: para la progresión y la valoración del fisio pasa a ser prioritaria",IF(B74=B72,"IGUAL que en S2: la valoración del fisio pasa a ser prioritaria","MEJOR que en S2: sigue el plan")))</f>
        <v>Se calcula cuando haya datos de S2 y S4</v>
      </c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</row>
    <row r="83" customFormat="false" ht="15" hidden="false" customHeight="true" outlineLevel="0" collapsed="false">
      <c r="A83" s="48" t="s">
        <v>335</v>
      </c>
      <c r="B83" s="48"/>
      <c r="C83" s="48"/>
      <c r="D83" s="48"/>
      <c r="E83" s="48" t="str">
        <f aca="false">IF(COUNTIF($L$5:$L$67,"Sí")&gt;0,"Registrado: la valoración del fisio pasa a ser prioritaria","Sin chasquido doloroso por ahora")</f>
        <v>Sin chasquido doloroso por ahora</v>
      </c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</row>
    <row r="84" customFormat="false" ht="27.75" hidden="false" customHeight="true" outlineLevel="0" collapsed="false">
      <c r="A84" s="19" t="s">
        <v>405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</row>
    <row r="87" customFormat="false" ht="19.5" hidden="false" customHeight="true" outlineLevel="0" collapsed="false">
      <c r="A87" s="11" t="s">
        <v>406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customFormat="false" ht="15" hidden="false" customHeight="true" outlineLevel="0" collapsed="false">
      <c r="A88" s="30" t="s">
        <v>407</v>
      </c>
      <c r="B88" s="30"/>
      <c r="C88" s="30"/>
      <c r="D88" s="30"/>
      <c r="E88" s="30"/>
      <c r="F88" s="30"/>
      <c r="G88" s="30" t="s">
        <v>325</v>
      </c>
      <c r="H88" s="30" t="s">
        <v>408</v>
      </c>
      <c r="I88" s="30" t="s">
        <v>52</v>
      </c>
      <c r="J88" s="30"/>
      <c r="K88" s="30"/>
      <c r="L88" s="30"/>
      <c r="M88" s="30"/>
      <c r="N88" s="30"/>
      <c r="O88" s="30"/>
      <c r="P88" s="30"/>
      <c r="Q88" s="30"/>
    </row>
    <row r="89" customFormat="false" ht="27" hidden="false" customHeight="true" outlineLevel="0" collapsed="false">
      <c r="A89" s="34" t="s">
        <v>409</v>
      </c>
      <c r="B89" s="34"/>
      <c r="C89" s="34"/>
      <c r="D89" s="34"/>
      <c r="E89" s="34"/>
      <c r="F89" s="34"/>
      <c r="G89" s="33" t="s">
        <v>410</v>
      </c>
      <c r="H89" s="37"/>
      <c r="I89" s="37"/>
      <c r="J89" s="37"/>
      <c r="K89" s="37"/>
      <c r="L89" s="37"/>
      <c r="M89" s="37"/>
      <c r="N89" s="37"/>
      <c r="O89" s="37"/>
      <c r="P89" s="37"/>
      <c r="Q89" s="37"/>
    </row>
    <row r="90" customFormat="false" ht="27" hidden="false" customHeight="true" outlineLevel="0" collapsed="false">
      <c r="A90" s="34" t="s">
        <v>411</v>
      </c>
      <c r="B90" s="34"/>
      <c r="C90" s="34"/>
      <c r="D90" s="34"/>
      <c r="E90" s="34"/>
      <c r="F90" s="34"/>
      <c r="G90" s="33" t="s">
        <v>412</v>
      </c>
      <c r="H90" s="37"/>
      <c r="I90" s="37"/>
      <c r="J90" s="37"/>
      <c r="K90" s="37"/>
      <c r="L90" s="37"/>
      <c r="M90" s="37"/>
      <c r="N90" s="37"/>
      <c r="O90" s="37"/>
      <c r="P90" s="37"/>
      <c r="Q90" s="37"/>
    </row>
    <row r="91" customFormat="false" ht="27" hidden="false" customHeight="true" outlineLevel="0" collapsed="false">
      <c r="A91" s="34" t="s">
        <v>413</v>
      </c>
      <c r="B91" s="34"/>
      <c r="C91" s="34"/>
      <c r="D91" s="34"/>
      <c r="E91" s="34"/>
      <c r="F91" s="34"/>
      <c r="G91" s="33" t="s">
        <v>412</v>
      </c>
      <c r="H91" s="37"/>
      <c r="I91" s="37"/>
      <c r="J91" s="37"/>
      <c r="K91" s="37"/>
      <c r="L91" s="37"/>
      <c r="M91" s="37"/>
      <c r="N91" s="37"/>
      <c r="O91" s="37"/>
      <c r="P91" s="37"/>
      <c r="Q91" s="37"/>
    </row>
    <row r="92" customFormat="false" ht="15" hidden="false" customHeight="true" outlineLevel="0" collapsed="false">
      <c r="A92" s="48" t="s">
        <v>414</v>
      </c>
      <c r="B92" s="48"/>
      <c r="C92" s="48"/>
      <c r="D92" s="48"/>
      <c r="E92" s="48"/>
      <c r="F92" s="48"/>
      <c r="G92" s="48"/>
      <c r="H92" s="49" t="str">
        <f aca="false">IF(COUNTIF(H89:H91,"Sí")=3,"SÍ: 1.ª carrera hoy (N1)",IF(COUNTIF(H89:H91,"No")&gt;0,"NO: hoy no corres; repite los criterios la semana que viene","Pendiente"))</f>
        <v>Pendiente</v>
      </c>
      <c r="I92" s="49"/>
      <c r="J92" s="49"/>
      <c r="K92" s="49"/>
      <c r="L92" s="49"/>
      <c r="M92" s="49"/>
      <c r="N92" s="49"/>
      <c r="O92" s="49"/>
      <c r="P92" s="49"/>
      <c r="Q92" s="49"/>
    </row>
    <row r="95" customFormat="false" ht="19.5" hidden="false" customHeight="true" outlineLevel="0" collapsed="false">
      <c r="A95" s="11" t="s">
        <v>415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customFormat="false" ht="30" hidden="false" customHeight="true" outlineLevel="0" collapsed="false">
      <c r="A96" s="30" t="s">
        <v>190</v>
      </c>
      <c r="B96" s="30"/>
      <c r="C96" s="30"/>
      <c r="D96" s="30" t="s">
        <v>324</v>
      </c>
      <c r="E96" s="30" t="s">
        <v>416</v>
      </c>
      <c r="F96" s="30" t="s">
        <v>417</v>
      </c>
      <c r="G96" s="30" t="s">
        <v>418</v>
      </c>
      <c r="H96" s="30" t="s">
        <v>419</v>
      </c>
      <c r="I96" s="30" t="s">
        <v>420</v>
      </c>
      <c r="J96" s="30" t="s">
        <v>421</v>
      </c>
      <c r="K96" s="30" t="s">
        <v>422</v>
      </c>
      <c r="L96" s="30" t="s">
        <v>423</v>
      </c>
      <c r="M96" s="30" t="s">
        <v>52</v>
      </c>
      <c r="N96" s="30"/>
      <c r="O96" s="30"/>
      <c r="P96" s="30"/>
      <c r="Q96" s="30"/>
    </row>
    <row r="97" customFormat="false" ht="15" hidden="false" customHeight="true" outlineLevel="0" collapsed="false">
      <c r="A97" s="48" t="s">
        <v>424</v>
      </c>
      <c r="B97" s="48"/>
      <c r="C97" s="48"/>
      <c r="D97" s="31" t="n">
        <v>46324</v>
      </c>
      <c r="E97" s="33" t="s">
        <v>425</v>
      </c>
      <c r="F97" s="37"/>
      <c r="G97" s="37"/>
      <c r="H97" s="37"/>
      <c r="I97" s="38" t="str">
        <f aca="false">IF(OR(F97="",G97=""),"",ROUND(F97*(1+G97/30),1))</f>
        <v/>
      </c>
      <c r="J97" s="38" t="str">
        <f aca="false">IF(OR(F97="",H97=""),"",ROUND(F97*(1+H97/30),1))</f>
        <v/>
      </c>
      <c r="K97" s="50" t="str">
        <f aca="false">IF(OR(I97="",J97=""),"",I97/J97)</f>
        <v/>
      </c>
      <c r="L97" s="39" t="str">
        <f aca="false">IF(K97="","",IF(K97&gt;=0.9,"Sí","No"))</f>
        <v/>
      </c>
      <c r="M97" s="37"/>
      <c r="N97" s="37"/>
      <c r="O97" s="37"/>
      <c r="P97" s="37"/>
      <c r="Q97" s="37"/>
    </row>
    <row r="98" customFormat="false" ht="15" hidden="false" customHeight="true" outlineLevel="0" collapsed="false">
      <c r="A98" s="48" t="s">
        <v>426</v>
      </c>
      <c r="B98" s="48"/>
      <c r="C98" s="48"/>
      <c r="D98" s="31" t="n">
        <v>46345</v>
      </c>
      <c r="E98" s="33" t="s">
        <v>425</v>
      </c>
      <c r="F98" s="37"/>
      <c r="G98" s="37"/>
      <c r="H98" s="37"/>
      <c r="I98" s="38" t="str">
        <f aca="false">IF(OR(F98="",G98=""),"",ROUND(F98*(1+G98/30),1))</f>
        <v/>
      </c>
      <c r="J98" s="38" t="str">
        <f aca="false">IF(OR(F98="",H98=""),"",ROUND(F98*(1+H98/30),1))</f>
        <v/>
      </c>
      <c r="K98" s="50" t="str">
        <f aca="false">IF(OR(I98="",J98=""),"",I98/J98)</f>
        <v/>
      </c>
      <c r="L98" s="39" t="str">
        <f aca="false">IF(K98="","",IF(K98&gt;=0.9,"Sí","No"))</f>
        <v/>
      </c>
      <c r="M98" s="37"/>
      <c r="N98" s="37"/>
      <c r="O98" s="37"/>
      <c r="P98" s="37"/>
      <c r="Q98" s="37"/>
    </row>
    <row r="99" customFormat="false" ht="15" hidden="false" customHeight="true" outlineLevel="0" collapsed="false">
      <c r="A99" s="48" t="s">
        <v>427</v>
      </c>
      <c r="B99" s="48"/>
      <c r="C99" s="48"/>
      <c r="D99" s="31" t="n">
        <v>46359</v>
      </c>
      <c r="E99" s="33" t="s">
        <v>425</v>
      </c>
      <c r="F99" s="37"/>
      <c r="G99" s="37"/>
      <c r="H99" s="37"/>
      <c r="I99" s="38" t="str">
        <f aca="false">IF(OR(F99="",G99=""),"",ROUND(F99*(1+G99/30),1))</f>
        <v/>
      </c>
      <c r="J99" s="38" t="str">
        <f aca="false">IF(OR(F99="",H99=""),"",ROUND(F99*(1+H99/30),1))</f>
        <v/>
      </c>
      <c r="K99" s="50" t="str">
        <f aca="false">IF(OR(I99="",J99=""),"",I99/J99)</f>
        <v/>
      </c>
      <c r="L99" s="39" t="str">
        <f aca="false">IF(K99="","",IF(K99&gt;=0.9,"Sí","No"))</f>
        <v/>
      </c>
      <c r="M99" s="37"/>
      <c r="N99" s="37"/>
      <c r="O99" s="37"/>
      <c r="P99" s="37"/>
      <c r="Q99" s="37"/>
    </row>
    <row r="100" customFormat="false" ht="15" hidden="false" customHeight="true" outlineLevel="0" collapsed="false">
      <c r="A100" s="48" t="s">
        <v>428</v>
      </c>
      <c r="B100" s="48"/>
      <c r="C100" s="48"/>
      <c r="D100" s="31" t="n">
        <v>46366</v>
      </c>
      <c r="E100" s="33" t="s">
        <v>429</v>
      </c>
      <c r="F100" s="37"/>
      <c r="G100" s="37"/>
      <c r="H100" s="37"/>
      <c r="I100" s="38" t="str">
        <f aca="false">IF(OR(F100="",G100=""),"",ROUND(F100*(1+G100/30),1))</f>
        <v/>
      </c>
      <c r="J100" s="38" t="str">
        <f aca="false">IF(OR(F100="",H100=""),"",ROUND(F100*(1+H100/30),1))</f>
        <v/>
      </c>
      <c r="K100" s="50" t="str">
        <f aca="false">IF(OR(I100="",J100=""),"",I100/J100)</f>
        <v/>
      </c>
      <c r="L100" s="39" t="str">
        <f aca="false">IF(K100="","",IF(K100&gt;=0.9,"Sí","No"))</f>
        <v/>
      </c>
      <c r="M100" s="37"/>
      <c r="N100" s="37"/>
      <c r="O100" s="37"/>
      <c r="P100" s="37"/>
      <c r="Q100" s="37"/>
    </row>
    <row r="101" customFormat="false" ht="39.75" hidden="false" customHeight="true" outlineLevel="0" collapsed="false">
      <c r="A101" s="19" t="s">
        <v>430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</row>
    <row r="103" customFormat="false" ht="19.5" hidden="false" customHeight="true" outlineLevel="0" collapsed="false">
      <c r="A103" s="11" t="s">
        <v>431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customFormat="false" ht="30" hidden="false" customHeight="true" outlineLevel="0" collapsed="false">
      <c r="A104" s="30" t="s">
        <v>432</v>
      </c>
      <c r="B104" s="30"/>
      <c r="C104" s="30"/>
      <c r="D104" s="30" t="s">
        <v>433</v>
      </c>
      <c r="E104" s="30" t="s">
        <v>434</v>
      </c>
      <c r="F104" s="30" t="s">
        <v>435</v>
      </c>
      <c r="G104" s="30" t="s">
        <v>436</v>
      </c>
      <c r="H104" s="30"/>
      <c r="I104" s="30" t="s">
        <v>437</v>
      </c>
      <c r="J104" s="30"/>
      <c r="K104" s="30" t="s">
        <v>438</v>
      </c>
      <c r="L104" s="30"/>
      <c r="M104" s="30" t="s">
        <v>52</v>
      </c>
      <c r="N104" s="30"/>
      <c r="O104" s="30"/>
      <c r="P104" s="30"/>
      <c r="Q104" s="30"/>
    </row>
    <row r="105" customFormat="false" ht="15" hidden="false" customHeight="true" outlineLevel="0" collapsed="false">
      <c r="A105" s="32" t="s">
        <v>439</v>
      </c>
      <c r="B105" s="32"/>
      <c r="C105" s="32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</row>
    <row r="106" customFormat="false" ht="15" hidden="false" customHeight="true" outlineLevel="0" collapsed="false">
      <c r="A106" s="32" t="s">
        <v>39</v>
      </c>
      <c r="B106" s="32"/>
      <c r="C106" s="32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</row>
    <row r="107" customFormat="false" ht="15" hidden="false" customHeight="true" outlineLevel="0" collapsed="false">
      <c r="A107" s="32" t="s">
        <v>29</v>
      </c>
      <c r="B107" s="32"/>
      <c r="C107" s="32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</row>
    <row r="108" customFormat="false" ht="15" hidden="false" customHeight="true" outlineLevel="0" collapsed="false">
      <c r="A108" s="32" t="s">
        <v>26</v>
      </c>
      <c r="B108" s="32"/>
      <c r="C108" s="32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</row>
    <row r="109" customFormat="false" ht="15" hidden="false" customHeight="true" outlineLevel="0" collapsed="false">
      <c r="A109" s="32" t="s">
        <v>440</v>
      </c>
      <c r="B109" s="32"/>
      <c r="C109" s="32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</row>
    <row r="110" customFormat="false" ht="39.75" hidden="false" customHeight="true" outlineLevel="0" collapsed="false">
      <c r="A110" s="19" t="s">
        <v>441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</row>
  </sheetData>
  <mergeCells count="114">
    <mergeCell ref="A1:Q1"/>
    <mergeCell ref="A2:Q2"/>
    <mergeCell ref="A3:Q3"/>
    <mergeCell ref="A70:Q70"/>
    <mergeCell ref="B71:D71"/>
    <mergeCell ref="G71:H71"/>
    <mergeCell ref="I71:J71"/>
    <mergeCell ref="K71:L71"/>
    <mergeCell ref="M71:Q71"/>
    <mergeCell ref="B72:D72"/>
    <mergeCell ref="G72:H72"/>
    <mergeCell ref="I72:J72"/>
    <mergeCell ref="K72:L72"/>
    <mergeCell ref="M72:Q72"/>
    <mergeCell ref="B73:D73"/>
    <mergeCell ref="G73:H73"/>
    <mergeCell ref="I73:J73"/>
    <mergeCell ref="K73:L73"/>
    <mergeCell ref="M73:Q73"/>
    <mergeCell ref="B74:D74"/>
    <mergeCell ref="G74:H74"/>
    <mergeCell ref="I74:J74"/>
    <mergeCell ref="K74:L74"/>
    <mergeCell ref="M74:Q74"/>
    <mergeCell ref="B75:D75"/>
    <mergeCell ref="G75:H75"/>
    <mergeCell ref="I75:J75"/>
    <mergeCell ref="K75:L75"/>
    <mergeCell ref="M75:Q75"/>
    <mergeCell ref="B76:D76"/>
    <mergeCell ref="G76:H76"/>
    <mergeCell ref="I76:J76"/>
    <mergeCell ref="K76:L76"/>
    <mergeCell ref="M76:Q76"/>
    <mergeCell ref="B77:D77"/>
    <mergeCell ref="G77:H77"/>
    <mergeCell ref="I77:J77"/>
    <mergeCell ref="K77:L77"/>
    <mergeCell ref="M77:Q77"/>
    <mergeCell ref="B78:D78"/>
    <mergeCell ref="G78:H78"/>
    <mergeCell ref="I78:J78"/>
    <mergeCell ref="K78:L78"/>
    <mergeCell ref="M78:Q78"/>
    <mergeCell ref="B79:D79"/>
    <mergeCell ref="G79:H79"/>
    <mergeCell ref="I79:J79"/>
    <mergeCell ref="K79:L79"/>
    <mergeCell ref="M79:Q79"/>
    <mergeCell ref="B80:D80"/>
    <mergeCell ref="G80:H80"/>
    <mergeCell ref="I80:J80"/>
    <mergeCell ref="K80:L80"/>
    <mergeCell ref="M80:Q80"/>
    <mergeCell ref="A82:D82"/>
    <mergeCell ref="E82:Q82"/>
    <mergeCell ref="A83:D83"/>
    <mergeCell ref="E83:Q83"/>
    <mergeCell ref="A84:Q84"/>
    <mergeCell ref="A87:Q87"/>
    <mergeCell ref="A88:F88"/>
    <mergeCell ref="I88:Q88"/>
    <mergeCell ref="A89:F89"/>
    <mergeCell ref="I89:Q89"/>
    <mergeCell ref="A90:F90"/>
    <mergeCell ref="I90:Q90"/>
    <mergeCell ref="A91:F91"/>
    <mergeCell ref="I91:Q91"/>
    <mergeCell ref="A92:G92"/>
    <mergeCell ref="H92:Q92"/>
    <mergeCell ref="A95:Q95"/>
    <mergeCell ref="A96:C96"/>
    <mergeCell ref="M96:Q96"/>
    <mergeCell ref="A97:C97"/>
    <mergeCell ref="M97:Q97"/>
    <mergeCell ref="A98:C98"/>
    <mergeCell ref="M98:Q98"/>
    <mergeCell ref="A99:C99"/>
    <mergeCell ref="M99:Q99"/>
    <mergeCell ref="A100:C100"/>
    <mergeCell ref="M100:Q100"/>
    <mergeCell ref="A101:Q101"/>
    <mergeCell ref="A103:Q103"/>
    <mergeCell ref="A104:C104"/>
    <mergeCell ref="G104:H104"/>
    <mergeCell ref="I104:J104"/>
    <mergeCell ref="K104:L104"/>
    <mergeCell ref="M104:Q104"/>
    <mergeCell ref="A105:C105"/>
    <mergeCell ref="G105:H105"/>
    <mergeCell ref="I105:J105"/>
    <mergeCell ref="K105:L105"/>
    <mergeCell ref="M105:Q105"/>
    <mergeCell ref="A106:C106"/>
    <mergeCell ref="G106:H106"/>
    <mergeCell ref="I106:J106"/>
    <mergeCell ref="K106:L106"/>
    <mergeCell ref="M106:Q106"/>
    <mergeCell ref="A107:C107"/>
    <mergeCell ref="G107:H107"/>
    <mergeCell ref="I107:J107"/>
    <mergeCell ref="K107:L107"/>
    <mergeCell ref="M107:Q107"/>
    <mergeCell ref="A108:C108"/>
    <mergeCell ref="G108:H108"/>
    <mergeCell ref="I108:J108"/>
    <mergeCell ref="K108:L108"/>
    <mergeCell ref="M108:Q108"/>
    <mergeCell ref="A109:C109"/>
    <mergeCell ref="G109:H109"/>
    <mergeCell ref="I109:J109"/>
    <mergeCell ref="K109:L109"/>
    <mergeCell ref="M109:Q109"/>
    <mergeCell ref="A110:Q110"/>
  </mergeCells>
  <conditionalFormatting sqref="P5:P67">
    <cfRule type="expression" priority="2" aboveAverage="0" equalAverage="0" bottom="0" percent="0" rank="0" text="" dxfId="0">
      <formula>P5="No"</formula>
    </cfRule>
    <cfRule type="expression" priority="3" aboveAverage="0" equalAverage="0" bottom="0" percent="0" rank="0" text="" dxfId="1">
      <formula>P5="Sí"</formula>
    </cfRule>
  </conditionalFormatting>
  <conditionalFormatting sqref="L5:L67">
    <cfRule type="expression" priority="4" aboveAverage="0" equalAverage="0" bottom="0" percent="0" rank="0" text="" dxfId="2">
      <formula>L5="Sí"</formula>
    </cfRule>
  </conditionalFormatting>
  <conditionalFormatting sqref="J5:J67">
    <cfRule type="expression" priority="5" aboveAverage="0" equalAverage="0" bottom="0" percent="0" rank="0" text="" dxfId="2">
      <formula>AND($J5&lt;&gt;"",OR($J5&gt;3,AND($E5="Carrera (≤2/10)",$J5&gt;2)))</formula>
    </cfRule>
  </conditionalFormatting>
  <conditionalFormatting sqref="E82">
    <cfRule type="expression" priority="6" aboveAverage="0" equalAverage="0" bottom="0" percent="0" rank="0" text="" dxfId="2">
      <formula>ISNUMBER(SEARCH("PEOR",E82))</formula>
    </cfRule>
    <cfRule type="expression" priority="7" aboveAverage="0" equalAverage="0" bottom="0" percent="0" rank="0" text="" dxfId="3">
      <formula>ISNUMBER(SEARCH("IGUAL",E82))</formula>
    </cfRule>
    <cfRule type="expression" priority="8" aboveAverage="0" equalAverage="0" bottom="0" percent="0" rank="0" text="" dxfId="3">
      <formula>ISNUMBER(SEARCH("Registrado",E82))</formula>
    </cfRule>
    <cfRule type="expression" priority="9" aboveAverage="0" equalAverage="0" bottom="0" percent="0" rank="0" text="" dxfId="4">
      <formula>ISNUMBER(SEARCH("MEJOR",E82))</formula>
    </cfRule>
  </conditionalFormatting>
  <conditionalFormatting sqref="E83">
    <cfRule type="expression" priority="10" aboveAverage="0" equalAverage="0" bottom="0" percent="0" rank="0" text="" dxfId="2">
      <formula>ISNUMBER(SEARCH("PEOR",E83))</formula>
    </cfRule>
    <cfRule type="expression" priority="11" aboveAverage="0" equalAverage="0" bottom="0" percent="0" rank="0" text="" dxfId="3">
      <formula>ISNUMBER(SEARCH("IGUAL",E83))</formula>
    </cfRule>
    <cfRule type="expression" priority="12" aboveAverage="0" equalAverage="0" bottom="0" percent="0" rank="0" text="" dxfId="3">
      <formula>ISNUMBER(SEARCH("Registrado",E83))</formula>
    </cfRule>
    <cfRule type="expression" priority="13" aboveAverage="0" equalAverage="0" bottom="0" percent="0" rank="0" text="" dxfId="4">
      <formula>ISNUMBER(SEARCH("MEJOR",E83))</formula>
    </cfRule>
  </conditionalFormatting>
  <conditionalFormatting sqref="H92">
    <cfRule type="expression" priority="14" aboveAverage="0" equalAverage="0" bottom="0" percent="0" rank="0" text="" dxfId="4">
      <formula>LEFT(H92,3)="SÍ:"</formula>
    </cfRule>
    <cfRule type="expression" priority="15" aboveAverage="0" equalAverage="0" bottom="0" percent="0" rank="0" text="" dxfId="2">
      <formula>LEFT(H92,3)="NO:"</formula>
    </cfRule>
  </conditionalFormatting>
  <conditionalFormatting sqref="L97">
    <cfRule type="expression" priority="16" aboveAverage="0" equalAverage="0" bottom="0" percent="0" rank="0" text="" dxfId="2">
      <formula>L97="No"</formula>
    </cfRule>
    <cfRule type="expression" priority="17" aboveAverage="0" equalAverage="0" bottom="0" percent="0" rank="0" text="" dxfId="4">
      <formula>L97="Sí"</formula>
    </cfRule>
  </conditionalFormatting>
  <conditionalFormatting sqref="L98">
    <cfRule type="expression" priority="18" aboveAverage="0" equalAverage="0" bottom="0" percent="0" rank="0" text="" dxfId="2">
      <formula>L98="No"</formula>
    </cfRule>
    <cfRule type="expression" priority="19" aboveAverage="0" equalAverage="0" bottom="0" percent="0" rank="0" text="" dxfId="4">
      <formula>L98="Sí"</formula>
    </cfRule>
  </conditionalFormatting>
  <conditionalFormatting sqref="L99">
    <cfRule type="expression" priority="20" aboveAverage="0" equalAverage="0" bottom="0" percent="0" rank="0" text="" dxfId="2">
      <formula>L99="No"</formula>
    </cfRule>
    <cfRule type="expression" priority="21" aboveAverage="0" equalAverage="0" bottom="0" percent="0" rank="0" text="" dxfId="4">
      <formula>L99="Sí"</formula>
    </cfRule>
  </conditionalFormatting>
  <conditionalFormatting sqref="L100">
    <cfRule type="expression" priority="22" aboveAverage="0" equalAverage="0" bottom="0" percent="0" rank="0" text="" dxfId="2">
      <formula>L100="No"</formula>
    </cfRule>
    <cfRule type="expression" priority="23" aboveAverage="0" equalAverage="0" bottom="0" percent="0" rank="0" text="" dxfId="4">
      <formula>L100="Sí"</formula>
    </cfRule>
  </conditionalFormatting>
  <dataValidations count="2">
    <dataValidation allowBlank="true" error="Pon un número entero de 0 a 10." errorStyle="stop" errorTitle="Escala 0-10" operator="between" showDropDown="false" showErrorMessage="false" showInputMessage="false" sqref="G5:H67 J5:J67" type="whole">
      <formula1>0</formula1>
      <formula2>10</formula2>
    </dataValidation>
    <dataValidation allowBlank="true" errorStyle="stop" operator="between" showDropDown="false" showErrorMessage="false" showInputMessage="false" sqref="K5:L67 H89:H91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2026-10-17T17:17:56Z</dcterms:created>
  <dc:creator>openpyxl</dc:creator>
  <dc:description/>
  <dc:language>en-US</dc:language>
  <cp:lastModifiedBy/>
  <dcterms:modified xsi:type="dcterms:W3CDTF">2026-10-26T16:15:49Z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